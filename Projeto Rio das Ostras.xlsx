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hidePivotFieldList="1" defaultThemeVersion="166925"/>
  <xr:revisionPtr revIDLastSave="0" documentId="8_{B473E750-2B10-48DF-B4AF-B3658BDEFE5B}" xr6:coauthVersionLast="47" xr6:coauthVersionMax="47" xr10:uidLastSave="{00000000-0000-0000-0000-000000000000}"/>
  <bookViews>
    <workbookView xWindow="240" yWindow="105" windowWidth="14805" windowHeight="8010" firstSheet="10" activeTab="9" xr2:uid="{00000000-000D-0000-FFFF-FFFF00000000}"/>
  </bookViews>
  <sheets>
    <sheet name="DEFINE" sheetId="14" r:id="rId1"/>
    <sheet name="MEASURE &amp; FONTES" sheetId="13" r:id="rId2"/>
    <sheet name="População" sheetId="3" r:id="rId3"/>
    <sheet name="Violência" sheetId="5" r:id="rId4"/>
    <sheet name="Interesse digital" sheetId="8" r:id="rId5"/>
    <sheet name="Empregos Turismo" sheetId="9" r:id="rId6"/>
    <sheet name="Total Empregos Formais" sheetId="11" r:id="rId7"/>
    <sheet name="PIB per Capita" sheetId="6" r:id="rId8"/>
    <sheet name="Receitas_Despesas" sheetId="10" r:id="rId9"/>
    <sheet name="IDHM" sheetId="15" r:id="rId10"/>
    <sheet name="ANALYZE" sheetId="16" r:id="rId11"/>
    <sheet name="IMPROVE" sheetId="18" r:id="rId12"/>
  </sheets>
  <calcPr calcId="191028"/>
  <pivotCaches>
    <pivotCache cacheId="109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3" i="16" l="1"/>
  <c r="L24" i="16"/>
  <c r="L25" i="16"/>
  <c r="L26" i="16"/>
  <c r="L27" i="16"/>
  <c r="L28" i="16"/>
  <c r="L29" i="16"/>
  <c r="L30" i="16"/>
  <c r="L31" i="16"/>
  <c r="L32" i="16"/>
  <c r="L33" i="16"/>
  <c r="L22" i="16"/>
  <c r="G3" i="11"/>
  <c r="G4" i="11"/>
  <c r="G5" i="11"/>
  <c r="G6" i="11"/>
  <c r="G7" i="11"/>
  <c r="G8" i="11"/>
  <c r="G9" i="11"/>
  <c r="G10" i="11"/>
  <c r="G11" i="11"/>
  <c r="G12" i="11"/>
  <c r="G13" i="11"/>
  <c r="G14" i="11"/>
  <c r="H3" i="11"/>
  <c r="H4" i="11"/>
  <c r="H5" i="11"/>
  <c r="H6" i="11"/>
  <c r="H7" i="11"/>
  <c r="H8" i="11"/>
  <c r="H9" i="11"/>
  <c r="H10" i="11"/>
  <c r="H11" i="11"/>
  <c r="H12" i="11"/>
  <c r="H13" i="11"/>
  <c r="H14" i="1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Y4" i="10"/>
  <c r="Y5" i="10"/>
  <c r="Y6" i="10"/>
  <c r="Y7" i="10"/>
  <c r="Y8" i="10"/>
  <c r="Y9" i="10"/>
  <c r="Y10" i="10"/>
  <c r="Y11" i="10"/>
  <c r="Y12" i="10"/>
  <c r="Y13" i="10"/>
  <c r="Y14" i="10"/>
  <c r="Y15" i="10"/>
  <c r="X4" i="10"/>
  <c r="X6" i="10"/>
  <c r="X7" i="10"/>
  <c r="X8" i="10"/>
  <c r="X9" i="10"/>
  <c r="X10" i="10"/>
  <c r="X11" i="10"/>
  <c r="X12" i="10"/>
  <c r="X13" i="10"/>
  <c r="X14" i="10"/>
  <c r="X15" i="10"/>
  <c r="W4" i="10"/>
  <c r="W5" i="10"/>
  <c r="W6" i="10"/>
  <c r="W7" i="10"/>
  <c r="W8" i="10"/>
  <c r="W9" i="10"/>
  <c r="W10" i="10"/>
  <c r="W11" i="10"/>
  <c r="W12" i="10"/>
  <c r="W13" i="10"/>
  <c r="W14" i="10"/>
  <c r="W15" i="10"/>
  <c r="T4" i="10"/>
  <c r="T5" i="10"/>
  <c r="T6" i="10"/>
  <c r="T7" i="10"/>
  <c r="T8" i="10"/>
  <c r="T9" i="10"/>
  <c r="T10" i="10"/>
  <c r="T11" i="10"/>
  <c r="T12" i="10"/>
  <c r="T13" i="10"/>
  <c r="T14" i="10"/>
  <c r="T15" i="10"/>
  <c r="S4" i="10"/>
  <c r="R4" i="10"/>
  <c r="R5" i="10"/>
  <c r="R6" i="10"/>
  <c r="R7" i="10"/>
  <c r="R8" i="10"/>
  <c r="R9" i="10"/>
  <c r="R10" i="10"/>
  <c r="R11" i="10"/>
  <c r="R12" i="10"/>
  <c r="R13" i="10"/>
  <c r="R14" i="10"/>
  <c r="R15" i="10"/>
  <c r="S6" i="10"/>
  <c r="S7" i="10"/>
  <c r="S8" i="10"/>
  <c r="S9" i="10"/>
  <c r="S10" i="10"/>
  <c r="S11" i="10"/>
  <c r="S12" i="10"/>
  <c r="S13" i="10"/>
  <c r="S14" i="10"/>
  <c r="S15" i="10"/>
  <c r="N4" i="10"/>
  <c r="O6" i="10"/>
  <c r="O4" i="10"/>
  <c r="O5" i="10"/>
  <c r="O7" i="10"/>
  <c r="O8" i="10"/>
  <c r="O9" i="10"/>
  <c r="O10" i="10"/>
  <c r="O11" i="10"/>
  <c r="O12" i="10"/>
  <c r="O13" i="10"/>
  <c r="O14" i="10"/>
  <c r="O15" i="10"/>
  <c r="N6" i="10"/>
  <c r="N7" i="10"/>
  <c r="N8" i="10"/>
  <c r="N9" i="10"/>
  <c r="N10" i="10"/>
  <c r="N11" i="10"/>
  <c r="N12" i="10"/>
  <c r="N13" i="10"/>
  <c r="N14" i="10"/>
  <c r="N15" i="10"/>
  <c r="M5" i="10"/>
  <c r="M6" i="10"/>
  <c r="M7" i="10"/>
  <c r="M8" i="10"/>
  <c r="M9" i="10"/>
  <c r="M10" i="10"/>
  <c r="M11" i="10"/>
  <c r="M12" i="10"/>
  <c r="M13" i="10"/>
  <c r="M14" i="10"/>
  <c r="M15" i="10"/>
  <c r="M4" i="10"/>
  <c r="I5" i="10"/>
  <c r="S5" i="10" s="1"/>
  <c r="D5" i="10"/>
  <c r="F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C25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D25" i="3"/>
  <c r="E25" i="3"/>
  <c r="N5" i="10" l="1"/>
  <c r="X5" i="10"/>
</calcChain>
</file>

<file path=xl/sharedStrings.xml><?xml version="1.0" encoding="utf-8"?>
<sst xmlns="http://schemas.openxmlformats.org/spreadsheetml/2006/main" count="518" uniqueCount="318">
  <si>
    <t>DEFINE</t>
  </si>
  <si>
    <t>Suppliers</t>
  </si>
  <si>
    <t>Inputs</t>
  </si>
  <si>
    <t>Process</t>
  </si>
  <si>
    <t>Outputs</t>
  </si>
  <si>
    <t>Customers</t>
  </si>
  <si>
    <t>Prefeitura</t>
  </si>
  <si>
    <t>Infraestrutura turística</t>
  </si>
  <si>
    <t>Atração de visitantes (divulgação, reputação e acessibilidade)</t>
  </si>
  <si>
    <t>Desenvolvimento econômico</t>
  </si>
  <si>
    <t>Moradores</t>
  </si>
  <si>
    <t>Setor privado local</t>
  </si>
  <si>
    <t>Marketing e divulgação da cidade</t>
  </si>
  <si>
    <t>Recepção e permanência (hospedagem, segurança, serviços e pontos turísticos)</t>
  </si>
  <si>
    <t>Desenvolvimento turístico</t>
  </si>
  <si>
    <t>Setor privado</t>
  </si>
  <si>
    <t>Investimento público</t>
  </si>
  <si>
    <t>Gasto do visitante na cidade (comércio, alimentação, lazer)</t>
  </si>
  <si>
    <t>qualidade de vida</t>
  </si>
  <si>
    <t>Segurança pública</t>
  </si>
  <si>
    <t>Geração de emprego e renda local</t>
  </si>
  <si>
    <t>Turistas</t>
  </si>
  <si>
    <t>Investimento privado</t>
  </si>
  <si>
    <t>Arrecadação de impostos sobre essas atividades</t>
  </si>
  <si>
    <t>VOC (Voice of Customer)</t>
  </si>
  <si>
    <t>Indicador</t>
  </si>
  <si>
    <t>Pergunta</t>
  </si>
  <si>
    <t>Produto</t>
  </si>
  <si>
    <t>Direcionadores</t>
  </si>
  <si>
    <t>Variável</t>
  </si>
  <si>
    <t>Indicadores</t>
  </si>
  <si>
    <t>População</t>
  </si>
  <si>
    <t>Crescimento acima da média regional?</t>
  </si>
  <si>
    <t>Maior qualidade de vida</t>
  </si>
  <si>
    <t>Menos roubos e furtos</t>
  </si>
  <si>
    <t>furtos e roubos por 100k/hab</t>
  </si>
  <si>
    <t>Homicídio doloso</t>
  </si>
  <si>
    <t>O crescimento foi contínuo?</t>
  </si>
  <si>
    <t>Menos homicídios</t>
  </si>
  <si>
    <t>homicídios dolosos por 100k/hab</t>
  </si>
  <si>
    <t>Furtos e Roubos</t>
  </si>
  <si>
    <t>Melhoria dos pontos turísticos</t>
  </si>
  <si>
    <t>Turismo</t>
  </si>
  <si>
    <t>Empregos gerados no setor de turismo</t>
  </si>
  <si>
    <t>Empregos no setor de turismo</t>
  </si>
  <si>
    <t>O crescimento foi abaixo da média de Cabo Frio?</t>
  </si>
  <si>
    <t>Melhoria da educação e saúde</t>
  </si>
  <si>
    <t>Desenvolvimento humano</t>
  </si>
  <si>
    <t>IDH</t>
  </si>
  <si>
    <t>Desenvolvimento das orlas</t>
  </si>
  <si>
    <t>Arrecadação total</t>
  </si>
  <si>
    <t>Arrecadação</t>
  </si>
  <si>
    <t>O crescimento foi proporcional à população?</t>
  </si>
  <si>
    <t>Mais empregos</t>
  </si>
  <si>
    <t>PIB per capita</t>
  </si>
  <si>
    <t>Crescimento foi lento?</t>
  </si>
  <si>
    <t>FONTES DE DADOS E NOTAS METODOLÓGICAS — Projeto Rio das Ostras</t>
  </si>
  <si>
    <t>TABELA DE FONTES</t>
  </si>
  <si>
    <t>Fonte</t>
  </si>
  <si>
    <t>Período</t>
  </si>
  <si>
    <t>URL / Acesso</t>
  </si>
  <si>
    <t>Notas Metodológicas</t>
  </si>
  <si>
    <t>Limitações</t>
  </si>
  <si>
    <t>IBGE — Censos Demográficos + Estimativas Populacionais anuais (DOU)</t>
  </si>
  <si>
    <t>1996–2025</t>
  </si>
  <si>
    <t>ibge.gov.br/estatisticas/sociais/populacao/
9103-estimativas-de-populacao.html</t>
  </si>
  <si>
    <t>PIB per capita calculado como:
PIB total IBGE ÷ população do respectivo ano.
Censos: 2000, 2010, 2022.
Estimativas intermediárias publicadas anualmente no DOU.</t>
  </si>
  <si>
    <t>Ano 2023 ausente nas estimativas oficiais (IBGE não publicou estimativa municipal pós-Censo 2022). Valor de 2023 obtido por interpolação linear entre 2022 e 2024.</t>
  </si>
  <si>
    <t>PIB per Capita</t>
  </si>
  <si>
    <t>IBGE — Sistema de Contas Regionais
Tabela 5938 (PIB municipal a preços correntes)</t>
  </si>
  <si>
    <t>2010–2023</t>
  </si>
  <si>
    <t>sidra.ibge.gov.br/tabela/5938</t>
  </si>
  <si>
    <t>PIB disponibilizado em R$ mil. Convertido para R$ multiplicando por 1.000.
PIB per capita = PIB total ÷ população do ano.
Valores nominais (não deflacionados pelo IPCA).</t>
  </si>
  <si>
    <t>Valores nominais não permitem comparação direta entre anos sem aplicação de deflator. Comparação entre municípios no mesmo ano é válida.</t>
  </si>
  <si>
    <t>Violência
(Roubos, Furtos,
Homicídio Doloso)</t>
  </si>
  <si>
    <t>ISP-RJ — Instituto de Segurança Pública do Rio de Janeiro
Base Municipal Mensal</t>
  </si>
  <si>
    <t>2014–2025</t>
  </si>
  <si>
    <t>ispdados.rj.gov.br/Arquivos/
BaseMunicipioMensal.csv</t>
  </si>
  <si>
    <t>Dados mensais agregados por ano.
Taxa por 100k hab = (ocorrências ÷ população) × 100.000.
Região dos Lagos: soma de 10 municípios (Araruama, Búzios, Arraial do Cabo, Cabo Frio, Casimiro de Abreu, Iguaba Grande, Rio das Ostras, São Pedro da Aldeia, Saquarema, Silva Jardim).</t>
  </si>
  <si>
    <t>Ano 2026 excluído (ano incompleto).
Dados refletem ocorrências registradas — subnotificação não mensurável.</t>
  </si>
  <si>
    <t>IDH Municipal
(IDHM)</t>
  </si>
  <si>
    <t>Atlas do Desenvolvimento Humano no Brasil — PNUD, IPEA e Fundação João Pinheiro</t>
  </si>
  <si>
    <t>2000, 2010, 2021</t>
  </si>
  <si>
    <t>atlasbrasil.org.br</t>
  </si>
  <si>
    <t>2000 e 2010 (Censos), 2021 (PNAD Contínua)</t>
  </si>
  <si>
    <t>Apenas 3 pontos temporais disponíveis. Não permite análise de tendência densa — utilizado como comparação pontual entre municípios; os subíndices de Cabo Frio e Macaé para 2021 foram estimados com base nos valores gerais e proporções históricas</t>
  </si>
  <si>
    <t>Empregos Formais
no Turismo</t>
  </si>
  <si>
    <t>MTE — RAIS (Relação Anual de Informações Sociais)
via Base dos Dados (basedosdados.org)</t>
  </si>
  <si>
    <t>2010–2021</t>
  </si>
  <si>
    <t>basedosdados.org
Tabela: br_me_rais.microdados_vinculos</t>
  </si>
  <si>
    <t>CNAEs incluídos:
5510 (Hotéis e similares)
5590 (Outros alojamentos / pousadas)
7911 (Agências de viagem)
7912 (Operadoras turísticas)
7990 (Serviços de reservas)
Vínculos ativos em 31/dez de cada ano.</t>
  </si>
  <si>
    <t>Série disponível até 2021 na base utilizada.
Cabo Frio: queries iniciais retornavam zero por uso de código IBGE incorreto (3300951). Corrigido para 3300704.</t>
  </si>
  <si>
    <t>Total de Empregos
Formais</t>
  </si>
  <si>
    <t>Total de vínculos ativos em 31/dez de cada ano, todos os CNAEs.
Permite calcular participação do turismo no total de empregos formais.</t>
  </si>
  <si>
    <t>Cobre apenas empregos com carteira assinada (CLT). Não inclui MEI, autônomos, informais ou servidores públicos estatutários.</t>
  </si>
  <si>
    <t>Arrecadação
Municipal</t>
  </si>
  <si>
    <t>SICONFI — Sistema de Informações Contábeis e Fiscais
do Setor Público (Tesouro Nacional)</t>
  </si>
  <si>
    <t>2013–2024</t>
  </si>
  <si>
    <t>siconfi.tesouro.fazenda.gov.br</t>
  </si>
  <si>
    <t>Receitas e despesas orçamentárias brutas.
Receita per capita = receita total ÷ população do ano.
Inclui royalties, transferências federais/estaduais e receita tributária própria (ISS, IPTU, ITBI).</t>
  </si>
  <si>
    <t>Não é possível isolar receita de ISS do setor de turismo especificamente — dados fiscais municipais não são desagregados por setor econômico nas bases públicas; Macaé 2014: dado ausente na base original. Valor estimado como média de 2013 e 2015.</t>
  </si>
  <si>
    <t>Interesse Digital
(Google Trends)</t>
  </si>
  <si>
    <t>Google Trends</t>
  </si>
  <si>
    <t>2004–2006</t>
  </si>
  <si>
    <t>trends.google.com</t>
  </si>
  <si>
    <t>Termos pesquisados:
"hotel Rio das Ostras" + "pousada Rio das Ostras"
"hotel Cabo Frio" + "pousada Cabo Frio"
Índice relativo 0–100 (100 = pico histórico da série).
Indicador anual = soma dos valores mensais do índice (0-100) de cada termo, agregados por cidade e ano."</t>
  </si>
  <si>
    <t>Índice relativo, não volume absoluto de buscas.
Série disponível apenas a partir de jun/2021 na exportação realizada.
Dados anteriores a 2021 não foram coletados.</t>
  </si>
  <si>
    <t>NOTAS GERAIS</t>
  </si>
  <si>
    <t>Municípios analisados</t>
  </si>
  <si>
    <t>Rio das Ostras (foco), Cabo Frio (comparação primária), Macaé (comparação secundária), Região dos Lagos (benchmark regional)</t>
  </si>
  <si>
    <t>Códigos IBGE</t>
  </si>
  <si>
    <t>Rio das Ostras: 3304524 | Cabo Frio: 3300704 | Macaé: 3302403</t>
  </si>
  <si>
    <t>Valores monetários</t>
  </si>
  <si>
    <t>Todos os valores monetários estão em R$ correntes (nominais). Não foi aplicado deflator. Comparações entre anos devem considerar inflação do período.</t>
  </si>
  <si>
    <t>Interpolações</t>
  </si>
  <si>
    <t>Anos sem dado oficial foram estimados por interpolação linear entre os anchor points mais próximos do IBGE. Valores interpolados estão identificados nas respectivas abas.</t>
  </si>
  <si>
    <t>Metodologia do projeto</t>
  </si>
  <si>
    <t>Projeto estruturado segundo o framework DMAIC (Define, Measure, Analyze, Improve, Control) do Lean Six Sigma.</t>
  </si>
  <si>
    <t>Correlações no Analyze</t>
  </si>
  <si>
    <t>os coeficientes de Pearson apresentados foram calculados com n = 8 a 12 observações anuais. Amostras pequenas aumentam a sensibilidade do coeficiente a valores extremos, e a maioria das séries compartilha uma tendência declinante no período 2013-2021, o que pode inflar correlações mesmo sem relação causal direta. Os valores devem ser interpretados como indicativos de associação, e não como prova de causalidade.</t>
  </si>
  <si>
    <t>CRESCIMENTO POPULACIONAL</t>
  </si>
  <si>
    <t>Ano</t>
  </si>
  <si>
    <t>Rio das Ostras</t>
  </si>
  <si>
    <t>Cabo Frio</t>
  </si>
  <si>
    <t>Macaé</t>
  </si>
  <si>
    <t>Total</t>
  </si>
  <si>
    <t>ROUBOS</t>
  </si>
  <si>
    <t>FURTOS</t>
  </si>
  <si>
    <t>HOMICÍDIO DOLOSO</t>
  </si>
  <si>
    <t>Região dos Lagos</t>
  </si>
  <si>
    <t>/100k habitantes</t>
  </si>
  <si>
    <t>Roubos_RO</t>
  </si>
  <si>
    <t>Furtos_RO</t>
  </si>
  <si>
    <t>HD_RO</t>
  </si>
  <si>
    <t>Roubos_CF</t>
  </si>
  <si>
    <t>Furtos_CF</t>
  </si>
  <si>
    <t>HD_CF</t>
  </si>
  <si>
    <t>Roubos_RL</t>
  </si>
  <si>
    <t>Furtos_RL</t>
  </si>
  <si>
    <t>HD_RL</t>
  </si>
  <si>
    <t>Time</t>
  </si>
  <si>
    <t>hotel 'ro'</t>
  </si>
  <si>
    <t>hotel 'cf'</t>
  </si>
  <si>
    <t>pousada 'ro'</t>
  </si>
  <si>
    <t>pousada 'cf'</t>
  </si>
  <si>
    <t>Mês</t>
  </si>
  <si>
    <t>ano</t>
  </si>
  <si>
    <t>Demanda RO</t>
  </si>
  <si>
    <t>Demanda CF</t>
  </si>
  <si>
    <t>Demanda CF / mês</t>
  </si>
  <si>
    <t>Demanda RO / mês</t>
  </si>
  <si>
    <t>Demanda CF / ano</t>
  </si>
  <si>
    <t>Demanda RO / ano</t>
  </si>
  <si>
    <t>EMPREGOS FORMAIS NO TURISMO / 1k habitantes</t>
  </si>
  <si>
    <t>VARIAÇÃO % ANUAL — Empregos no Turismo</t>
  </si>
  <si>
    <t>-</t>
  </si>
  <si>
    <t>TOTAL EMPREGOS FORMAIS / mil habitantes</t>
  </si>
  <si>
    <t>% EMPREGOS NO TURISMO / TOTAL FORMAL</t>
  </si>
  <si>
    <t>VARIAÇÃO % ANUAL — Total Empregos Formais</t>
  </si>
  <si>
    <t>PIB PER CAPITA (R$ correntes)</t>
  </si>
  <si>
    <t>PIB</t>
  </si>
  <si>
    <t>RECEITAS ORÇAMENTÁRIAS BRUTAS</t>
  </si>
  <si>
    <t>DESPESAS ORÇAMENTÁRIAS BRUTAS</t>
  </si>
  <si>
    <t>RECEITAS / HABITANTE</t>
  </si>
  <si>
    <t>DESPESAS / HABITANTE</t>
  </si>
  <si>
    <t>SALDO LÍQUIDO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</si>
  <si>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</si>
  <si>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</si>
  <si>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</si>
  <si>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</si>
  <si>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</si>
  <si>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</si>
  <si>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</si>
  <si>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</si>
  <si>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</si>
  <si>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</si>
  <si>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</si>
  <si>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</si>
  <si>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IDHM E SUBÍNDICES</t>
  </si>
  <si>
    <t>Dimensão</t>
  </si>
  <si>
    <t>Cidade</t>
  </si>
  <si>
    <t>2000</t>
  </si>
  <si>
    <t>2010</t>
  </si>
  <si>
    <t>Δ 2000→2010</t>
  </si>
  <si>
    <t>Δ 2010→2021</t>
  </si>
  <si>
    <t>IDHM Geral</t>
  </si>
  <si>
    <t>Longevidade</t>
  </si>
  <si>
    <t>Renda</t>
  </si>
  <si>
    <t>Educação</t>
  </si>
  <si>
    <t>Resposta</t>
  </si>
  <si>
    <t>Hipótese</t>
  </si>
  <si>
    <t>Não, o crescimento populacional seguiu proporcional à média regional.</t>
  </si>
  <si>
    <t>Não, os índices de homicídio doloso estiveram a maior parte do tempo inferior à média regional, tendo apenas um pico entre 2019 e 2021. Desde então continuou em queda.</t>
  </si>
  <si>
    <t>Possivelmente reflexo do investimento municipal em segurança, além da distribuição da polícia militar pelo governo do estado do Rio de Janeiro na Região dos Lagos. (limitações: não foi possível levantar os dados de investimento na segurança pública)</t>
  </si>
  <si>
    <t>Não, tanto furtos quanto roubos por 100k habitantes mantiveram-se consistentemente acima da média da Região dos Lagos entre 2014 e 2023, ainda que em tendência de queda constante. Em 2024, pela primeira vez, ambos os indicadores ficaram abaixo da média regional.</t>
  </si>
  <si>
    <t>Furtos apresentam correlação muito forte com empregos no setor de turismo (Pearson = 0,93), sugerindo que a queda nos furtos acompanha diretamente a redução do fluxo turístico na cidade. Já roubos não apresentam correlação relevante com turismo (Pearson = 0,13), indicando que sua trajetória de queda responde a outros fatores não capturados neste projeto. Isso sugere que estratégias para aumentar o turismo devem antecipar um possível aumento em furtos</t>
  </si>
  <si>
    <t>Os empregos formais no setor do turismo estavam em torno de 5 por mil habitantes em 2010, caindo para 2 em 2021, enquanto Cabo Frio foi de 7 para 8 empregos.</t>
  </si>
  <si>
    <t>Baixo investimento municipal nos pontos turísticos e na divulgação da cidade nas redes sociais.</t>
  </si>
  <si>
    <t>SIm, ultrapassando em 2008 os índices de Cabo Frio e Macaé.</t>
  </si>
  <si>
    <t>Influenciado por ter um aumento de 35% no índice de educação entre 2000 e 2021, muito superior aos outros dois municípios, entretanto se mantém sendo o indicador de menor valor.</t>
  </si>
  <si>
    <t>A receita se manteve proporcional por habitante, assim como Cabo Frio. Entretanto, Macaé teve um aumento considerável de 8 mil para 18 mil / habitante entre 2017 e 2024.</t>
  </si>
  <si>
    <t>A menor presença de atividades econômicas de alta geração de valor agregado e arrecadação tributária limita o crescimento da receita municipal por habitante em Rio das Ostras.</t>
  </si>
  <si>
    <t>De 2012 a 2016 teve uma queda de 128 mil para 35 mil, tendo um crescimento de 50% entre 2020 e 2023, mantendo na casa dos 65 mil.</t>
  </si>
  <si>
    <t>Alta dependência do setor petrolífero, que teve sua crise em 2014.</t>
  </si>
  <si>
    <t>RIO DAS OSTRAS</t>
  </si>
  <si>
    <t>Empregos formais no turismo</t>
  </si>
  <si>
    <t>Empregos formais totais</t>
  </si>
  <si>
    <t>interesse digital</t>
  </si>
  <si>
    <t>Roubos</t>
  </si>
  <si>
    <t>Furtos</t>
  </si>
  <si>
    <t>Empregos no Setor do Turismo</t>
  </si>
  <si>
    <t>Pearson de Roubos x Empregos no Turismo = 0,1269</t>
  </si>
  <si>
    <t>correlação positiva fraca</t>
  </si>
  <si>
    <t>Pearson de Furtos x Empregos no Turismo = 0,9339</t>
  </si>
  <si>
    <t>correlação positiva muito forte</t>
  </si>
  <si>
    <t xml:space="preserve">  </t>
  </si>
  <si>
    <t>Pearson =</t>
  </si>
  <si>
    <t>correlação positiva forte</t>
  </si>
  <si>
    <t>A correlação muito forte entre furtos e empregos no turismo sugere que furto é, em grande parte, um crime associado à presença de turistas, quando a atividade turística cai, os furtos caem na mesma proporção. Esse achado pode ter implicação direta para o Improve: qualquer estratégia de retomada do turismo deve prever reforço de segurança preventiva em áreas turísticas, já que o aumento de visitantes provavelmente trará de volta parte dos furtos</t>
  </si>
  <si>
    <t>Existe forte associação entre o PIB per capita de RO e o volume de empregos formais no setor de turismo — as duas séries sobem e caem de forma sincronizada ao longo de 2010-2021. Isso sugere que o turismo, embora represente uma fração pequena do total de empregos da cidade (menos de 2%), tem peso desproporcional na explicação da variação da renda per capita. Investir em turismo pode ter efeito multiplicador maior que investir em emprego genérico.</t>
  </si>
  <si>
    <t>Em contraste com o resultado anterior, o total de empregos formais (todos os setores) tem correlação fraca com o PIB per capita. Isso reforça que a renda per capita de RO não é explicada pelo volume geral de emprego, mas por setores específicos de maior valor agregado — o que aponta para o turismo (e historicamente o petróleo) como os verdadeiros motores da renda, não o mercado de trabalho como um todo.</t>
  </si>
  <si>
    <t>A demanda digital por hospedagem (Google Trends) acompanha de perto o volume de empregos formais no setor, ambos caem de forma consistente a partir de 2014. Isso sugere que a visibilidade digital da cidade como destino turístico é um indicador da saúde do setor de hospedagem, ou uma consequência junto com este. De qualquer maneira, reforça a recomendação de ter o marketing digital como alavanca de recuperação no Improve.</t>
  </si>
  <si>
    <t>Diferente de furtos, roubos não acompanham a atividade turística, a correlação é praticamente nula. Isso indica que a queda de roubos em RO responde a fatores estruturais não relacionados ao turismo, possivelmente ligados à dinâmica de criminalidade urbana local. Para o Improve, isso significa que a estratégia de segurança não pode ser unidimensional: combater roubos exige abordagem distinta de prevenir furtos turísticos.</t>
  </si>
  <si>
    <t>IMPROVE — Plano de Ação (PDSA)</t>
  </si>
  <si>
    <t>As ações abaixo derivam diretamente das causas mapeadas no Diagrama de Ishikawa (Analyze) e das correlações estatísticas identificadas. Cada ação está vinculada à categoria de causa, ao indicador que deve impactar, e segue o ciclo PDSA (Plan-Do-Study-Act) para permitir avaliação futura no Control.</t>
  </si>
  <si>
    <t>MATRIZ DE PRIORIZAÇÃO DE AÇÕES</t>
  </si>
  <si>
    <t>Categoria (Ishikawa)</t>
  </si>
  <si>
    <t>Causa Raiz Endereçada</t>
  </si>
  <si>
    <t>Ação Proposta</t>
  </si>
  <si>
    <t>Indicador-Alvo</t>
  </si>
  <si>
    <t>Evidência (Analyze)</t>
  </si>
  <si>
    <t>Impacto</t>
  </si>
  <si>
    <t>Esforço</t>
  </si>
  <si>
    <t>Prioridade</t>
  </si>
  <si>
    <t>Gestão e Planejamento</t>
  </si>
  <si>
    <t>Ausência de estratégia municipal de turismo</t>
  </si>
  <si>
    <t>Criar Plano Municipal de Turismo com metas anuais de ocupação hoteleira, empregos no setor e arrecadação de ISS turístico</t>
  </si>
  <si>
    <t>Empregos no Turismo / 1k hab</t>
  </si>
  <si>
    <t>RO caiu de 4,88 para 2,18 (2010-2021); CF subiu de 6,56 para 7,90</t>
  </si>
  <si>
    <t>Alto</t>
  </si>
  <si>
    <t>Médio</t>
  </si>
  <si>
    <t>P1</t>
  </si>
  <si>
    <t>Sem incentivo fiscal para hospedagem/lazer</t>
  </si>
  <si>
    <t>Programa de incentivo fiscal (ISS reduzido por 24 meses) para novos empreendimentos de hospedagem e lazer</t>
  </si>
  <si>
    <t>% empregos turismo/total caiu de 1,7% para 0,8% em RO; subiu de 2,2% para 3,0% em CF</t>
  </si>
  <si>
    <t>Falta de plano de marketing digital</t>
  </si>
  <si>
    <t>Estratégia de marketing digital municipal: campanhas sazonais, parcerias com influenciadores regionais, perfil oficial em plataformas de turismo</t>
  </si>
  <si>
    <t>Índice de Interesse Digital (Google Trends)</t>
  </si>
  <si>
    <t>Pearson Interesse Digital x Empregos Turismo = 0,83 (correlação forte)</t>
  </si>
  <si>
    <t>Baixo</t>
  </si>
  <si>
    <t>Infraestrutura Urbana</t>
  </si>
  <si>
    <t>Baixa presença em plataformas (Booking, Airbnb)</t>
  </si>
  <si>
    <t>Programa de cadastramento assistido de pousadas e pequenos hotéis em plataformas digitais, com suporte técnico da prefeitura</t>
  </si>
  <si>
    <t>Demanda digital de RO é ~5x menor que CF consistentemente desde 2010</t>
  </si>
  <si>
    <t>Pontos turísticos sem manutenção/melhoria</t>
  </si>
  <si>
    <t>Revitalização da orla: iluminação, calçadão, mobiliário urbano e sinalização turística</t>
  </si>
  <si>
    <t>Empregos no Turismo / 1k hab; Arrecadação per capita</t>
  </si>
  <si>
    <t>VOC identificou "desenvolvimento das orlas" como direcionador prioritário do morador</t>
  </si>
  <si>
    <t>P2</t>
  </si>
  <si>
    <t>Aumento esperado de furtos com retomada do turismo</t>
  </si>
  <si>
    <t>Reforço sazonal de policiamento (verão/feriados) em áreas turísticas e orla, com foco em furtos</t>
  </si>
  <si>
    <t>Furtos por 100k hab</t>
  </si>
  <si>
    <t>Pearson Furtos x Empregos Turismo = 0,93 — crescimento do turismo tende a elevar furtos</t>
  </si>
  <si>
    <t>Capital Humano</t>
  </si>
  <si>
    <t>Qualificação atrelada ao setor petróleo / êxodo pós-2014</t>
  </si>
  <si>
    <t>Parceria com SENAC/SEBRAE para cursos de qualificação em hospitalidade, gastronomia, offshore e tecnologia.</t>
  </si>
  <si>
    <t>Queda de 55% nos empregos formais de turismo entre 2013-2021 coincide com êxodo pós-crise da Petrobras</t>
  </si>
  <si>
    <t>Educação como subíndice mais fraco do IDHM</t>
  </si>
  <si>
    <t>Programa de educação técnica voltada a turismo e hospitalidade e tecnologia nas escolas municipais, em parceria com institutos federais</t>
  </si>
  <si>
    <t>IDHM — Educação</t>
  </si>
  <si>
    <t>IDHM Educação de RO = 0,733 (2021):  menor dos 3 subíndices, gap de 0,14 vs Longevidade</t>
  </si>
  <si>
    <t>P3</t>
  </si>
  <si>
    <t>Oferta e Posicionamento</t>
  </si>
  <si>
    <t>Pouca diversidade de atrações / identidade fraca como destino</t>
  </si>
  <si>
    <t>Calendário cultural anual (eventos, festivais) para reduzir sazonalidade extrema (pico em janeiro) e criar identidade própria além do sol-e-praia</t>
  </si>
  <si>
    <t>Índice de Interesse Digital; Empregos no Turismo</t>
  </si>
  <si>
    <t>Sazonalidade extrema identificada no Google Trends: pico concentrado em janeiro (pode relacionar com o SESC verão)</t>
  </si>
  <si>
    <t>Monitoramento e Dados</t>
  </si>
  <si>
    <t>Sem monitoramento de ocupação hoteleira / KPIs</t>
  </si>
  <si>
    <t>Implementar painel público de indicadores de turismo (dashboard com ocupação, emprego no setor, arrecadação ISS turístico)</t>
  </si>
  <si>
    <t>Todos os indicadores de turismo</t>
  </si>
  <si>
    <t>Ausência de dados de ocupação e investimento em segurança foi limitação recorrente neste projeto</t>
  </si>
  <si>
    <t>Prioridade: P1 = implementação imediata (baixo esforço/alto impacto) · P2 = curto-médio prazo · P3 = médio-longo prazo. Impacto e Esforço avaliados qualitativamente com base no escopo do projeto e nas evidências do Analyze.</t>
  </si>
  <si>
    <t>CICLOS PDSA — AÇÕES PRIORITÁRIAS (P1)</t>
  </si>
  <si>
    <t>Ação</t>
  </si>
  <si>
    <t>Plan (o que/meta)</t>
  </si>
  <si>
    <t>Do (como implementar)</t>
  </si>
  <si>
    <t>Study (métrica e predição)</t>
  </si>
  <si>
    <t>Act (decisão)</t>
  </si>
  <si>
    <t>Marketing Digital
+ Plataformas</t>
  </si>
  <si>
    <t>Aumentar o índice de Interesse Digital (Google Trends, soma hotel + pousada Rio das Ostras) de ~9 (média 2024-2025) para ≥15 em 12 meses — patamar observado entre 2014-2015.</t>
  </si>
  <si>
    <t>1) Investir no perfil institucional da prefeitura no Instagram/TikTok com conteúdo da orla e pontos turísticos.
2) Programa de cadastramento assistido de pousadas no Booking/Airbnb (meta: +20 estabelecimentos em 6 meses).
3) Campanha sazonal pré-verão (out-dez) com parcerias de influenciadores regionais.</t>
  </si>
  <si>
    <t>Métrica: índice anual Google Trends (RO) e nº de empregos formais em hospedagem (RAIS).
Predição: se o índice subir para ≥15, espera-se aumento de empregos no turismo/1k hab de 2,18 para ~3,0 (baseado na correlação histórica de 0,83).
Prazo de avaliação: 12 meses.</t>
  </si>
  <si>
    <t>Se meta atingida → expandir campanha e formalizar como política permanente (Control).
Se não atingida → revisar canais/mensagem antes de escalar investimento.</t>
  </si>
  <si>
    <t>Incentivo Fiscal
para Hospedagem</t>
  </si>
  <si>
    <t>Atrair novos empreendimentos de hospedagem/lazer via ISS reduzido (24 meses), com meta de reverter a queda de % turismo sobre total de empregos (atualmente 0,8% em RO vs 3,0% em CF).</t>
  </si>
  <si>
    <t>1) Lei municipal de incentivo fiscal temporário para hospedagem e alimentação.
2) Divulgação direcionada a investidores via associações comerciais e SEBRAE-RJ.
3) Simplificação do processo de licenciamento para novos estabelecimentos.</t>
  </si>
  <si>
    <t>Métrica: nº de novos CNPJs ativos em CNAE 5510/5590 (RAIS/Receita Federal) e % turismo/total de empregos.
Predição: aumento de pelo menos 0,3 p.p. na participação do turismo no total de empregos formais em 24 meses.
Prazo de avaliação: 24 meses.</t>
  </si>
  <si>
    <t>Se houver aumento de CNPJs/empregos → tornar incentivo permanente com critérios de renovação.
Se não houver resposta → investigar barreiras não-fiscais (ex: infraestrutura, segurança).</t>
  </si>
  <si>
    <t>Plano Municipal
de Turismo</t>
  </si>
  <si>
    <t>Formalizar plano com metas anuais públicas para: empregos no turismo/1k hab, arrecadação de ISS turístico e índice de interesse digital — partindo da base 2021 (2,18 / valor SICONFI / ~9).</t>
  </si>
  <si>
    <t>1) Constituir grupo de trabalho intersetorial (turismo, fazenda, planejamento urbano).
2) Definir metas anuais alinhadas às demais ações (marketing, incentivo fiscal, revitalização).
3) Publicar plano e cronograma de revisão anual.</t>
  </si>
  <si>
    <t>Métrica: cumprimento das metas anuais definidas no plano (indicadores compostos).
Predição: trajetória de recuperação de empregos no turismo/1k hab de 2,18 (2021) para ≥4,0 em 5 anos (retorno ao patamar de 2010), aproximando-se da tendência de CF.
Prazo de avaliação: revisão anual, ciclo de 5 anos.</t>
  </si>
  <si>
    <t>Revisão anual do plano com base nos indicadores do Control — ajustar metas e ações conforme desvios.</t>
  </si>
  <si>
    <t>ROADMAP DE IMPLEMENTAÇÃO</t>
  </si>
  <si>
    <t>Horizonte</t>
  </si>
  <si>
    <t>Ações</t>
  </si>
  <si>
    <t>Indicadores a Monitorar (Control)</t>
  </si>
  <si>
    <t>Curto Prazo
(0-6 meses)</t>
  </si>
  <si>
    <t>Marketing digital e redes sociais · Cadastramento de pousadas em plataformas · Início do desenho do Plano Municipal de Turismo</t>
  </si>
  <si>
    <t>Índice de Interesse Digital (Google Trends) · Nº de estabelecimentos cadastrados em plataformas</t>
  </si>
  <si>
    <t>Médio Prazo
(6-18 meses)</t>
  </si>
  <si>
    <t>Lei de incentivo fiscal aprovada e em vigor · Reforço sazonal de policiamento na orla · Painel público de indicadores de turismo</t>
  </si>
  <si>
    <t>Empregos formais no turismo/1k hab · Furtos por 100k hab · Nº de novos CNPJs em hospedagem</t>
  </si>
  <si>
    <t>Longo Prazo
(18+ meses)</t>
  </si>
  <si>
    <t>Revitalização da orla concluída · Programas de qualificação profissional em operação · Calendário cultural anual estabelecido</t>
  </si>
  <si>
    <t>PIB per capita · IDHM Educação · % empregos turismo/total · Arrecadação per capita</t>
  </si>
  <si>
    <t>Nota: A categoria "Conjuntura Econômica" (crise do setor petrolífero) identificada no Ishikawa não gerou ações neste plano por estar fora do controle municipal. As ações acima concentram-se nas 5 categorias acionáveis (Gestão e Planejamento, Monitoramento e Dados, Capital Humano, Infraestrutura Urbana e Oferta e Posicionamento), priorizando alavancas com maior respaldo estatístico do Analyze.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</si>
</sst>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164" formatCode="0.000"/>
    <numFmt numFmtId="165" formatCode="&quot;R$&quot;\ #,##0.00"/>
    <numFmt numFmtId="166" formatCode="0.0&quot;%&quot;"/>
    <numFmt numFmtId="167" formatCode="#,##0.0"/>
  </numFmts>
  <fonts count="45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sz val="10"/>
      <color rgb="FF999999"/>
      <name val="Arial"/>
    </font>
    <font>
      <b/>
      <sz val="10"/>
      <color rgb="FF8B1A1A"/>
      <name val="Arial"/>
    </font>
    <font>
      <b/>
      <sz val="10"/>
      <color rgb="FF1A6B3C"/>
      <name val="Arial"/>
    </font>
    <font>
      <b/>
      <sz val="12"/>
      <color rgb="FFFFFFFF"/>
      <name val="Arial"/>
    </font>
    <font>
      <b/>
      <sz val="10"/>
      <color theme="0"/>
      <name val="Arial"/>
    </font>
    <font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sz val="12"/>
      <color theme="1"/>
      <name val="Calibri"/>
      <scheme val="minor"/>
    </font>
    <font>
      <sz val="12"/>
      <color theme="0"/>
      <name val="Calibri"/>
      <scheme val="minor"/>
    </font>
    <font>
      <i/>
      <sz val="12"/>
      <color theme="1"/>
      <name val="Calibri"/>
      <scheme val="minor"/>
    </font>
    <font>
      <sz val="16"/>
      <color theme="0"/>
      <name val="Calibri"/>
      <scheme val="minor"/>
    </font>
    <font>
      <b/>
      <i/>
      <sz val="12"/>
      <color rgb="FF000000"/>
      <name val="Calibri"/>
      <scheme val="minor"/>
    </font>
    <font>
      <b/>
      <sz val="14"/>
      <color theme="0"/>
      <name val="Calibri"/>
      <scheme val="minor"/>
    </font>
    <font>
      <sz val="14"/>
      <color theme="0"/>
      <name val="Calibri"/>
      <scheme val="minor"/>
    </font>
    <font>
      <b/>
      <sz val="12"/>
      <color theme="0"/>
      <name val="Calibri"/>
      <scheme val="minor"/>
    </font>
    <font>
      <b/>
      <sz val="12"/>
      <color rgb="FFFFFFFF"/>
      <name val="Calibri"/>
      <scheme val="minor"/>
    </font>
    <font>
      <b/>
      <sz val="12"/>
      <name val="Calibri"/>
      <scheme val="minor"/>
    </font>
    <font>
      <sz val="12"/>
      <name val="Calibri"/>
      <scheme val="minor"/>
    </font>
    <font>
      <i/>
      <sz val="12"/>
      <color rgb="FF8B1A1A"/>
      <name val="Calibri"/>
      <scheme val="minor"/>
    </font>
    <font>
      <b/>
      <sz val="12"/>
      <color rgb="FF000000"/>
      <name val="Calibri"/>
    </font>
    <font>
      <sz val="12"/>
      <color theme="1"/>
      <name val="Arial"/>
      <charset val="1"/>
    </font>
    <font>
      <i/>
      <sz val="12"/>
      <color theme="2" tint="-0.74999237037263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rgb="FF333333"/>
      <name val="Arial"/>
    </font>
    <font>
      <sz val="10"/>
      <color theme="0"/>
      <name val="Arial"/>
    </font>
    <font>
      <b/>
      <sz val="10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sz val="12"/>
      <color theme="1"/>
      <name val="Arial"/>
    </font>
    <font>
      <i/>
      <sz val="12"/>
      <color rgb="FF555555"/>
      <name val="Arial"/>
    </font>
    <font>
      <sz val="12"/>
      <name val="Arial"/>
    </font>
    <font>
      <b/>
      <sz val="12"/>
      <color rgb="FF1A6B3C"/>
      <name val="Arial"/>
    </font>
    <font>
      <b/>
      <sz val="12"/>
      <color rgb="FFD68910"/>
      <name val="Arial"/>
    </font>
    <font>
      <b/>
      <sz val="12"/>
      <color rgb="FF1B3A5C"/>
      <name val="Arial"/>
    </font>
    <font>
      <i/>
      <sz val="12"/>
      <color rgb="FF8B1A1A"/>
      <name val="Arial"/>
    </font>
    <font>
      <sz val="12"/>
      <color rgb="FF555555"/>
      <name val="Arial"/>
    </font>
  </fonts>
  <fills count="2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2E86AB"/>
        <bgColor rgb="FF2E86AB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B3A5C"/>
        <bgColor rgb="FF1B3A5C"/>
      </patternFill>
    </fill>
    <fill>
      <patternFill patternType="solid">
        <fgColor rgb="FF6E2C00"/>
        <bgColor rgb="FF6E2C00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BF2FA"/>
        <bgColor rgb="FFEBF2FA"/>
      </patternFill>
    </fill>
    <fill>
      <patternFill patternType="solid">
        <fgColor rgb="FFC0392B"/>
        <bgColor rgb="FFC0392B"/>
      </patternFill>
    </fill>
    <fill>
      <patternFill patternType="solid">
        <fgColor rgb="FF8E44AD"/>
        <bgColor rgb="FF8E44AD"/>
      </patternFill>
    </fill>
    <fill>
      <patternFill patternType="solid">
        <fgColor rgb="FF2980B9"/>
        <bgColor rgb="FF2980B9"/>
      </patternFill>
    </fill>
    <fill>
      <patternFill patternType="solid">
        <fgColor rgb="FF1A6B3C"/>
        <bgColor rgb="FF1A6B3C"/>
      </patternFill>
    </fill>
    <fill>
      <patternFill patternType="solid">
        <fgColor rgb="FFD68910"/>
        <bgColor rgb="FFD68910"/>
      </patternFill>
    </fill>
    <fill>
      <patternFill patternType="solid">
        <fgColor rgb="FF27AE60"/>
        <bgColor rgb="FF27AE60"/>
      </patternFill>
    </fill>
    <fill>
      <patternFill patternType="solid">
        <fgColor rgb="FF7F8C8D"/>
        <bgColor rgb="FF7F8C8D"/>
      </patternFill>
    </fill>
  </fills>
  <borders count="5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1" tint="0.499984740745262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rgb="FF00000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3" fontId="3" fillId="0" borderId="9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6" fontId="8" fillId="0" borderId="9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0" fontId="1" fillId="17" borderId="14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67" fontId="3" fillId="0" borderId="9" xfId="0" applyNumberFormat="1" applyFont="1" applyBorder="1" applyAlignment="1">
      <alignment horizontal="center"/>
    </xf>
    <xf numFmtId="167" fontId="3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166" fontId="9" fillId="0" borderId="11" xfId="0" applyNumberFormat="1" applyFont="1" applyBorder="1" applyAlignment="1">
      <alignment horizontal="center"/>
    </xf>
    <xf numFmtId="166" fontId="8" fillId="0" borderId="11" xfId="0" applyNumberFormat="1" applyFont="1" applyBorder="1" applyAlignment="1">
      <alignment horizontal="center"/>
    </xf>
    <xf numFmtId="0" fontId="1" fillId="16" borderId="15" xfId="0" applyFont="1" applyFill="1" applyBorder="1" applyAlignment="1">
      <alignment horizontal="center"/>
    </xf>
    <xf numFmtId="10" fontId="3" fillId="0" borderId="9" xfId="0" applyNumberFormat="1" applyFont="1" applyBorder="1" applyAlignment="1">
      <alignment horizontal="center"/>
    </xf>
    <xf numFmtId="10" fontId="3" fillId="0" borderId="11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 wrapText="1"/>
    </xf>
    <xf numFmtId="166" fontId="9" fillId="0" borderId="9" xfId="0" applyNumberFormat="1" applyFont="1" applyBorder="1" applyAlignment="1">
      <alignment horizontal="center" vertical="center" wrapText="1"/>
    </xf>
    <xf numFmtId="164" fontId="3" fillId="19" borderId="9" xfId="0" applyNumberFormat="1" applyFont="1" applyFill="1" applyBorder="1" applyAlignment="1">
      <alignment horizontal="center" vertical="center" wrapText="1"/>
    </xf>
    <xf numFmtId="166" fontId="9" fillId="19" borderId="9" xfId="0" applyNumberFormat="1" applyFont="1" applyFill="1" applyBorder="1" applyAlignment="1">
      <alignment horizontal="center" vertical="center" wrapText="1"/>
    </xf>
    <xf numFmtId="0" fontId="1" fillId="17" borderId="9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 wrapText="1"/>
    </xf>
    <xf numFmtId="0" fontId="12" fillId="0" borderId="0" xfId="0" applyFont="1"/>
    <xf numFmtId="0" fontId="12" fillId="13" borderId="24" xfId="0" applyFont="1" applyFill="1" applyBorder="1" applyAlignment="1">
      <alignment horizontal="center" vertical="center"/>
    </xf>
    <xf numFmtId="0" fontId="12" fillId="11" borderId="22" xfId="0" applyFont="1" applyFill="1" applyBorder="1" applyAlignment="1">
      <alignment horizontal="center" vertical="center"/>
    </xf>
    <xf numFmtId="0" fontId="12" fillId="13" borderId="18" xfId="0" applyFont="1" applyFill="1" applyBorder="1" applyAlignment="1">
      <alignment horizontal="center" vertical="center" wrapText="1"/>
    </xf>
    <xf numFmtId="0" fontId="12" fillId="11" borderId="21" xfId="0" applyFont="1" applyFill="1" applyBorder="1" applyAlignment="1">
      <alignment horizontal="center" vertical="center"/>
    </xf>
    <xf numFmtId="0" fontId="6" fillId="11" borderId="21" xfId="0" applyFont="1" applyFill="1" applyBorder="1" applyAlignment="1">
      <alignment horizontal="center" vertical="center" wrapText="1"/>
    </xf>
    <xf numFmtId="0" fontId="12" fillId="11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13" borderId="26" xfId="0" applyFont="1" applyFill="1" applyBorder="1" applyAlignment="1">
      <alignment horizontal="center" vertical="center"/>
    </xf>
    <xf numFmtId="0" fontId="12" fillId="11" borderId="27" xfId="0" applyFont="1" applyFill="1" applyBorder="1" applyAlignment="1">
      <alignment horizontal="center" vertical="center"/>
    </xf>
    <xf numFmtId="0" fontId="12" fillId="13" borderId="28" xfId="0" applyFont="1" applyFill="1" applyBorder="1" applyAlignment="1">
      <alignment horizontal="center" vertical="center" wrapText="1"/>
    </xf>
    <xf numFmtId="0" fontId="12" fillId="11" borderId="29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2" fillId="11" borderId="18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/>
    </xf>
    <xf numFmtId="0" fontId="20" fillId="15" borderId="23" xfId="0" applyFont="1" applyFill="1" applyBorder="1" applyAlignment="1">
      <alignment horizontal="center" vertical="center"/>
    </xf>
    <xf numFmtId="0" fontId="20" fillId="15" borderId="25" xfId="0" applyFont="1" applyFill="1" applyBorder="1" applyAlignment="1">
      <alignment horizontal="center" vertical="center"/>
    </xf>
    <xf numFmtId="0" fontId="20" fillId="15" borderId="19" xfId="0" applyFont="1" applyFill="1" applyBorder="1" applyAlignment="1">
      <alignment horizontal="center" vertical="center"/>
    </xf>
    <xf numFmtId="0" fontId="20" fillId="15" borderId="20" xfId="0" applyFont="1" applyFill="1" applyBorder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14" fillId="13" borderId="18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3" fillId="19" borderId="9" xfId="0" applyFont="1" applyFill="1" applyBorder="1" applyAlignment="1">
      <alignment horizontal="center" vertical="center" wrapText="1"/>
    </xf>
    <xf numFmtId="0" fontId="24" fillId="19" borderId="9" xfId="0" applyFont="1" applyFill="1" applyBorder="1" applyAlignment="1">
      <alignment horizontal="center" vertical="center" wrapText="1"/>
    </xf>
    <xf numFmtId="0" fontId="25" fillId="19" borderId="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 applyAlignment="1"/>
    <xf numFmtId="0" fontId="28" fillId="0" borderId="0" xfId="0" applyFont="1"/>
    <xf numFmtId="0" fontId="11" fillId="17" borderId="0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/>
    <xf numFmtId="3" fontId="3" fillId="0" borderId="17" xfId="0" applyNumberFormat="1" applyFont="1" applyBorder="1" applyAlignment="1">
      <alignment horizontal="center" vertical="center"/>
    </xf>
    <xf numFmtId="3" fontId="29" fillId="3" borderId="0" xfId="0" applyNumberFormat="1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3" fontId="29" fillId="0" borderId="0" xfId="0" applyNumberFormat="1" applyFont="1" applyBorder="1" applyAlignment="1">
      <alignment horizontal="center" vertical="center"/>
    </xf>
    <xf numFmtId="3" fontId="29" fillId="11" borderId="0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3" fontId="29" fillId="3" borderId="7" xfId="0" applyNumberFormat="1" applyFont="1" applyFill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3" fontId="29" fillId="0" borderId="7" xfId="0" applyNumberFormat="1" applyFont="1" applyBorder="1" applyAlignment="1">
      <alignment horizontal="center" vertical="center"/>
    </xf>
    <xf numFmtId="0" fontId="29" fillId="11" borderId="4" xfId="0" applyFont="1" applyFill="1" applyBorder="1" applyAlignment="1">
      <alignment horizontal="center" vertical="center"/>
    </xf>
    <xf numFmtId="3" fontId="29" fillId="11" borderId="7" xfId="0" applyNumberFormat="1" applyFont="1" applyFill="1" applyBorder="1" applyAlignment="1">
      <alignment horizontal="center" vertical="center"/>
    </xf>
    <xf numFmtId="0" fontId="30" fillId="3" borderId="35" xfId="0" applyFont="1" applyFill="1" applyBorder="1" applyAlignment="1">
      <alignment horizontal="center" vertical="center"/>
    </xf>
    <xf numFmtId="10" fontId="30" fillId="3" borderId="36" xfId="0" applyNumberFormat="1" applyFont="1" applyFill="1" applyBorder="1" applyAlignment="1">
      <alignment horizontal="center" vertical="center"/>
    </xf>
    <xf numFmtId="10" fontId="30" fillId="3" borderId="37" xfId="0" applyNumberFormat="1" applyFont="1" applyFill="1" applyBorder="1" applyAlignment="1">
      <alignment horizontal="center" vertical="center"/>
    </xf>
    <xf numFmtId="3" fontId="3" fillId="12" borderId="0" xfId="0" applyNumberFormat="1" applyFont="1" applyFill="1" applyBorder="1" applyAlignment="1">
      <alignment horizontal="center" vertical="center"/>
    </xf>
    <xf numFmtId="0" fontId="29" fillId="12" borderId="0" xfId="0" applyFont="1" applyFill="1" applyBorder="1"/>
    <xf numFmtId="0" fontId="1" fillId="12" borderId="0" xfId="0" applyFont="1" applyFill="1" applyBorder="1" applyAlignment="1">
      <alignment horizontal="center"/>
    </xf>
    <xf numFmtId="0" fontId="11" fillId="1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3" fontId="3" fillId="3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0" fontId="1" fillId="12" borderId="0" xfId="0" applyFont="1" applyFill="1" applyBorder="1" applyAlignment="1">
      <alignment horizontal="center" vertical="center"/>
    </xf>
    <xf numFmtId="0" fontId="1" fillId="17" borderId="0" xfId="0" applyFont="1" applyFill="1" applyBorder="1" applyAlignment="1">
      <alignment horizontal="center" vertical="center"/>
    </xf>
    <xf numFmtId="0" fontId="1" fillId="18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29" fillId="12" borderId="0" xfId="0" applyFont="1" applyFill="1" applyBorder="1" applyAlignment="1">
      <alignment horizontal="center" vertical="center"/>
    </xf>
    <xf numFmtId="14" fontId="29" fillId="0" borderId="0" xfId="0" applyNumberFormat="1" applyFont="1" applyBorder="1" applyAlignment="1">
      <alignment horizontal="center" vertical="center"/>
    </xf>
    <xf numFmtId="0" fontId="29" fillId="0" borderId="0" xfId="0" applyNumberFormat="1" applyFont="1" applyBorder="1" applyAlignment="1">
      <alignment horizontal="center" vertical="center"/>
    </xf>
    <xf numFmtId="2" fontId="29" fillId="17" borderId="0" xfId="0" applyNumberFormat="1" applyFont="1" applyFill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1" fontId="30" fillId="13" borderId="0" xfId="0" applyNumberFormat="1" applyFont="1" applyFill="1" applyAlignment="1">
      <alignment horizontal="center" vertical="center"/>
    </xf>
    <xf numFmtId="1" fontId="30" fillId="11" borderId="0" xfId="0" applyNumberFormat="1" applyFont="1" applyFill="1" applyAlignment="1">
      <alignment horizontal="center" vertical="center"/>
    </xf>
    <xf numFmtId="1" fontId="11" fillId="12" borderId="0" xfId="0" applyNumberFormat="1" applyFont="1" applyFill="1" applyAlignment="1">
      <alignment horizontal="center" vertical="center"/>
    </xf>
    <xf numFmtId="0" fontId="1" fillId="7" borderId="14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165" fontId="31" fillId="0" borderId="9" xfId="0" applyNumberFormat="1" applyFont="1" applyBorder="1" applyAlignment="1">
      <alignment horizontal="center"/>
    </xf>
    <xf numFmtId="165" fontId="31" fillId="0" borderId="11" xfId="0" applyNumberFormat="1" applyFont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17" borderId="17" xfId="0" applyFont="1" applyFill="1" applyBorder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0" fontId="2" fillId="13" borderId="16" xfId="0" applyFont="1" applyFill="1" applyBorder="1" applyAlignment="1">
      <alignment horizontal="center"/>
    </xf>
    <xf numFmtId="165" fontId="32" fillId="13" borderId="16" xfId="0" applyNumberFormat="1" applyFont="1" applyFill="1" applyBorder="1" applyAlignment="1">
      <alignment horizontal="right" vertical="center"/>
    </xf>
    <xf numFmtId="0" fontId="2" fillId="11" borderId="16" xfId="0" applyFont="1" applyFill="1" applyBorder="1" applyAlignment="1">
      <alignment horizontal="center"/>
    </xf>
    <xf numFmtId="165" fontId="32" fillId="11" borderId="16" xfId="0" applyNumberFormat="1" applyFont="1" applyFill="1" applyBorder="1" applyAlignment="1">
      <alignment horizontal="right" vertical="center"/>
    </xf>
    <xf numFmtId="0" fontId="29" fillId="0" borderId="16" xfId="0" applyFont="1" applyBorder="1"/>
    <xf numFmtId="0" fontId="11" fillId="12" borderId="12" xfId="0" applyFont="1" applyFill="1" applyBorder="1" applyAlignment="1">
      <alignment horizontal="center" vertical="center"/>
    </xf>
    <xf numFmtId="0" fontId="29" fillId="16" borderId="12" xfId="0" applyFont="1" applyFill="1" applyBorder="1" applyAlignment="1">
      <alignment horizontal="center" vertical="center"/>
    </xf>
    <xf numFmtId="0" fontId="33" fillId="10" borderId="12" xfId="0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1" fontId="34" fillId="13" borderId="1" xfId="0" applyNumberFormat="1" applyFont="1" applyFill="1" applyBorder="1" applyAlignment="1">
      <alignment horizontal="center" vertical="center"/>
    </xf>
    <xf numFmtId="165" fontId="29" fillId="3" borderId="1" xfId="0" applyNumberFormat="1" applyFont="1" applyFill="1" applyBorder="1" applyAlignment="1">
      <alignment horizontal="center" vertical="center"/>
    </xf>
    <xf numFmtId="165" fontId="29" fillId="0" borderId="1" xfId="0" applyNumberFormat="1" applyFont="1" applyBorder="1" applyAlignment="1">
      <alignment horizontal="center" vertical="center"/>
    </xf>
    <xf numFmtId="1" fontId="30" fillId="13" borderId="12" xfId="0" applyNumberFormat="1" applyFont="1" applyFill="1" applyBorder="1" applyAlignment="1">
      <alignment horizontal="center" vertical="center"/>
    </xf>
    <xf numFmtId="8" fontId="29" fillId="3" borderId="1" xfId="0" applyNumberFormat="1" applyFont="1" applyFill="1" applyBorder="1" applyAlignment="1">
      <alignment horizontal="center" vertical="center"/>
    </xf>
    <xf numFmtId="8" fontId="29" fillId="0" borderId="1" xfId="0" applyNumberFormat="1" applyFont="1" applyBorder="1" applyAlignment="1">
      <alignment horizontal="center" vertical="center"/>
    </xf>
    <xf numFmtId="1" fontId="34" fillId="11" borderId="1" xfId="0" applyNumberFormat="1" applyFont="1" applyFill="1" applyBorder="1" applyAlignment="1">
      <alignment horizontal="center" vertical="center"/>
    </xf>
    <xf numFmtId="165" fontId="29" fillId="11" borderId="1" xfId="0" applyNumberFormat="1" applyFont="1" applyFill="1" applyBorder="1" applyAlignment="1">
      <alignment horizontal="center" vertical="center"/>
    </xf>
    <xf numFmtId="1" fontId="30" fillId="11" borderId="12" xfId="0" applyNumberFormat="1" applyFont="1" applyFill="1" applyBorder="1" applyAlignment="1">
      <alignment horizontal="center" vertical="center"/>
    </xf>
    <xf numFmtId="8" fontId="29" fillId="11" borderId="1" xfId="0" applyNumberFormat="1" applyFont="1" applyFill="1" applyBorder="1" applyAlignment="1">
      <alignment horizontal="center" vertical="center"/>
    </xf>
    <xf numFmtId="1" fontId="34" fillId="11" borderId="5" xfId="0" applyNumberFormat="1" applyFont="1" applyFill="1" applyBorder="1" applyAlignment="1">
      <alignment horizontal="center" vertical="center"/>
    </xf>
    <xf numFmtId="165" fontId="29" fillId="11" borderId="5" xfId="0" applyNumberFormat="1" applyFont="1" applyFill="1" applyBorder="1" applyAlignment="1">
      <alignment horizontal="center" vertical="center"/>
    </xf>
    <xf numFmtId="1" fontId="30" fillId="11" borderId="0" xfId="0" applyNumberFormat="1" applyFont="1" applyFill="1" applyBorder="1" applyAlignment="1">
      <alignment horizontal="center" vertical="center"/>
    </xf>
    <xf numFmtId="165" fontId="29" fillId="11" borderId="10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21" fillId="2" borderId="34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2" borderId="38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29" fillId="0" borderId="0" xfId="0" applyNumberFormat="1" applyFont="1" applyBorder="1" applyAlignment="1">
      <alignment horizontal="center" vertical="center"/>
    </xf>
    <xf numFmtId="0" fontId="11" fillId="18" borderId="39" xfId="0" applyFont="1" applyFill="1" applyBorder="1" applyAlignment="1">
      <alignment horizontal="center" vertical="center"/>
    </xf>
    <xf numFmtId="0" fontId="11" fillId="18" borderId="40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3" fillId="3" borderId="1" xfId="0" applyNumberFormat="1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3" fillId="3" borderId="42" xfId="0" applyNumberFormat="1" applyFont="1" applyFill="1" applyBorder="1" applyAlignment="1">
      <alignment horizontal="center" vertical="center"/>
    </xf>
    <xf numFmtId="3" fontId="3" fillId="0" borderId="42" xfId="0" applyNumberFormat="1" applyFont="1" applyBorder="1" applyAlignment="1">
      <alignment horizontal="center" vertical="center"/>
    </xf>
    <xf numFmtId="3" fontId="3" fillId="0" borderId="43" xfId="0" applyNumberFormat="1" applyFont="1" applyBorder="1" applyAlignment="1">
      <alignment horizontal="center" vertical="center"/>
    </xf>
    <xf numFmtId="0" fontId="2" fillId="0" borderId="41" xfId="0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1" fillId="18" borderId="41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 vertical="center"/>
    </xf>
    <xf numFmtId="0" fontId="26" fillId="0" borderId="0" xfId="0" applyFont="1" applyAlignment="1"/>
    <xf numFmtId="0" fontId="5" fillId="0" borderId="0" xfId="0" applyFont="1" applyAlignment="1"/>
    <xf numFmtId="0" fontId="11" fillId="12" borderId="0" xfId="0" applyFont="1" applyFill="1" applyBorder="1" applyAlignment="1">
      <alignment horizontal="center" vertical="center"/>
    </xf>
    <xf numFmtId="0" fontId="11" fillId="12" borderId="0" xfId="0" applyFont="1" applyFill="1" applyBorder="1" applyAlignment="1">
      <alignment horizontal="center"/>
    </xf>
    <xf numFmtId="0" fontId="0" fillId="0" borderId="0" xfId="0" applyAlignment="1"/>
    <xf numFmtId="0" fontId="1" fillId="8" borderId="9" xfId="0" applyFont="1" applyFill="1" applyBorder="1" applyAlignment="1">
      <alignment horizontal="center" vertical="center" wrapText="1"/>
    </xf>
    <xf numFmtId="0" fontId="11" fillId="18" borderId="0" xfId="0" applyFont="1" applyFill="1" applyBorder="1" applyAlignment="1">
      <alignment horizontal="center" vertical="center"/>
    </xf>
    <xf numFmtId="0" fontId="23" fillId="19" borderId="47" xfId="0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0" borderId="20" xfId="0" applyFont="1" applyFill="1" applyBorder="1" applyAlignment="1">
      <alignment horizontal="center" vertical="center" wrapText="1"/>
    </xf>
    <xf numFmtId="0" fontId="29" fillId="13" borderId="0" xfId="0" applyFont="1" applyFill="1" applyAlignment="1">
      <alignment horizontal="center" vertical="center" wrapText="1"/>
    </xf>
    <xf numFmtId="0" fontId="11" fillId="18" borderId="4" xfId="0" applyFont="1" applyFill="1" applyBorder="1" applyAlignment="1">
      <alignment horizontal="center" vertical="center"/>
    </xf>
    <xf numFmtId="0" fontId="11" fillId="18" borderId="0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1" fillId="18" borderId="3" xfId="0" applyFont="1" applyFill="1" applyBorder="1" applyAlignment="1">
      <alignment horizontal="center" vertical="center"/>
    </xf>
    <xf numFmtId="0" fontId="11" fillId="18" borderId="6" xfId="0" applyFont="1" applyFill="1" applyBorder="1" applyAlignment="1">
      <alignment horizontal="center" vertical="center"/>
    </xf>
    <xf numFmtId="0" fontId="17" fillId="14" borderId="0" xfId="0" applyFont="1" applyFill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24" fillId="19" borderId="11" xfId="0" applyFont="1" applyFill="1" applyBorder="1" applyAlignment="1">
      <alignment horizontal="center" vertical="center" wrapText="1"/>
    </xf>
    <xf numFmtId="0" fontId="24" fillId="19" borderId="31" xfId="0" applyFont="1" applyFill="1" applyBorder="1" applyAlignment="1">
      <alignment horizontal="center" vertical="center" wrapText="1"/>
    </xf>
    <xf numFmtId="0" fontId="24" fillId="19" borderId="48" xfId="0" applyFont="1" applyFill="1" applyBorder="1" applyAlignment="1">
      <alignment horizontal="center" vertical="center" wrapText="1"/>
    </xf>
    <xf numFmtId="0" fontId="26" fillId="0" borderId="0" xfId="0" applyFont="1" applyAlignment="1"/>
    <xf numFmtId="0" fontId="5" fillId="0" borderId="0" xfId="0" applyFont="1" applyAlignment="1"/>
    <xf numFmtId="0" fontId="11" fillId="12" borderId="2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/>
    </xf>
    <xf numFmtId="3" fontId="11" fillId="18" borderId="0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12" borderId="0" xfId="0" applyFont="1" applyFill="1" applyBorder="1" applyAlignment="1">
      <alignment horizontal="center" vertical="center"/>
    </xf>
    <xf numFmtId="0" fontId="11" fillId="12" borderId="0" xfId="0" applyFont="1" applyFill="1" applyBorder="1" applyAlignment="1">
      <alignment horizontal="center"/>
    </xf>
    <xf numFmtId="0" fontId="11" fillId="12" borderId="0" xfId="0" applyFont="1" applyFill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4" fillId="8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8" borderId="8" xfId="0" applyFont="1" applyFill="1" applyBorder="1" applyAlignment="1">
      <alignment horizontal="center" wrapText="1"/>
    </xf>
    <xf numFmtId="0" fontId="1" fillId="8" borderId="0" xfId="0" applyFont="1" applyFill="1" applyAlignment="1">
      <alignment horizontal="center"/>
    </xf>
    <xf numFmtId="0" fontId="29" fillId="0" borderId="0" xfId="0" applyFont="1" applyAlignment="1"/>
    <xf numFmtId="0" fontId="10" fillId="8" borderId="0" xfId="0" applyFont="1" applyFill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0" fillId="0" borderId="17" xfId="0" applyBorder="1" applyAlignment="1"/>
    <xf numFmtId="0" fontId="0" fillId="0" borderId="14" xfId="0" applyBorder="1" applyAlignment="1"/>
    <xf numFmtId="0" fontId="1" fillId="20" borderId="9" xfId="0" applyFont="1" applyFill="1" applyBorder="1" applyAlignment="1">
      <alignment horizontal="center" vertical="center" wrapText="1"/>
    </xf>
    <xf numFmtId="0" fontId="1" fillId="21" borderId="9" xfId="0" applyFont="1" applyFill="1" applyBorder="1" applyAlignment="1">
      <alignment horizontal="center" vertical="center" wrapText="1"/>
    </xf>
    <xf numFmtId="0" fontId="1" fillId="22" borderId="9" xfId="0" applyFont="1" applyFill="1" applyBorder="1" applyAlignment="1">
      <alignment horizontal="center" vertical="center" wrapText="1"/>
    </xf>
    <xf numFmtId="0" fontId="35" fillId="13" borderId="0" xfId="0" applyFont="1" applyFill="1" applyAlignment="1">
      <alignment horizontal="center" vertical="center"/>
    </xf>
    <xf numFmtId="0" fontId="35" fillId="13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35" fillId="13" borderId="1" xfId="0" applyFont="1" applyFill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5" fillId="13" borderId="10" xfId="0" applyFont="1" applyFill="1" applyBorder="1" applyAlignment="1">
      <alignment horizontal="center" vertical="center"/>
    </xf>
    <xf numFmtId="0" fontId="5" fillId="13" borderId="29" xfId="0" applyFont="1" applyFill="1" applyBorder="1" applyAlignment="1">
      <alignment horizontal="center" vertical="center"/>
    </xf>
    <xf numFmtId="0" fontId="5" fillId="13" borderId="32" xfId="0" applyFont="1" applyFill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5" fillId="13" borderId="33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0" fontId="5" fillId="13" borderId="34" xfId="0" applyFont="1" applyFill="1" applyBorder="1" applyAlignment="1">
      <alignment horizontal="center" vertical="center"/>
    </xf>
    <xf numFmtId="0" fontId="5" fillId="13" borderId="20" xfId="0" applyFont="1" applyFill="1" applyBorder="1" applyAlignment="1">
      <alignment horizontal="center" vertical="center"/>
    </xf>
    <xf numFmtId="0" fontId="5" fillId="13" borderId="23" xfId="0" applyFont="1" applyFill="1" applyBorder="1" applyAlignment="1">
      <alignment horizontal="center" vertical="center"/>
    </xf>
    <xf numFmtId="0" fontId="5" fillId="13" borderId="30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 wrapText="1"/>
    </xf>
    <xf numFmtId="0" fontId="22" fillId="12" borderId="0" xfId="0" applyFont="1" applyFill="1" applyBorder="1" applyAlignment="1">
      <alignment horizontal="center" vertical="center" wrapText="1"/>
    </xf>
    <xf numFmtId="0" fontId="22" fillId="12" borderId="44" xfId="0" applyFont="1" applyFill="1" applyBorder="1" applyAlignment="1">
      <alignment horizontal="center" vertical="center" wrapText="1"/>
    </xf>
    <xf numFmtId="0" fontId="22" fillId="12" borderId="45" xfId="0" applyFont="1" applyFill="1" applyBorder="1" applyAlignment="1">
      <alignment horizontal="center" vertical="center" wrapText="1"/>
    </xf>
    <xf numFmtId="0" fontId="22" fillId="12" borderId="46" xfId="0" applyFont="1" applyFill="1" applyBorder="1" applyAlignment="1">
      <alignment horizontal="center" vertical="center" wrapText="1"/>
    </xf>
    <xf numFmtId="0" fontId="22" fillId="12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39" fillId="19" borderId="9" xfId="0" applyFont="1" applyFill="1" applyBorder="1" applyAlignment="1">
      <alignment horizontal="center" vertical="center" wrapText="1"/>
    </xf>
    <xf numFmtId="0" fontId="40" fillId="19" borderId="9" xfId="0" applyFont="1" applyFill="1" applyBorder="1" applyAlignment="1">
      <alignment horizontal="center" vertical="center" wrapText="1"/>
    </xf>
    <xf numFmtId="0" fontId="10" fillId="23" borderId="9" xfId="0" applyFont="1" applyFill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 wrapText="1"/>
    </xf>
    <xf numFmtId="0" fontId="41" fillId="0" borderId="9" xfId="0" applyFont="1" applyBorder="1" applyAlignment="1">
      <alignment horizontal="center" vertical="center" wrapText="1"/>
    </xf>
    <xf numFmtId="0" fontId="10" fillId="25" borderId="9" xfId="0" applyFont="1" applyFill="1" applyBorder="1" applyAlignment="1">
      <alignment horizontal="center" vertical="center" wrapText="1"/>
    </xf>
    <xf numFmtId="0" fontId="41" fillId="19" borderId="9" xfId="0" applyFont="1" applyFill="1" applyBorder="1" applyAlignment="1">
      <alignment horizontal="center" vertical="center" wrapText="1"/>
    </xf>
    <xf numFmtId="0" fontId="10" fillId="26" borderId="9" xfId="0" applyFont="1" applyFill="1" applyBorder="1" applyAlignment="1">
      <alignment horizontal="center" vertical="center" wrapText="1"/>
    </xf>
    <xf numFmtId="0" fontId="10" fillId="21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7" fillId="0" borderId="9" xfId="0" applyFont="1" applyBorder="1" applyAlignment="1">
      <alignment horizontal="center" vertical="center"/>
    </xf>
    <xf numFmtId="0" fontId="42" fillId="19" borderId="9" xfId="0" applyFont="1" applyFill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</cellXfs>
  <cellStyles count="1">
    <cellStyle name="Normal" xfId="0" builtinId="0"/>
  </cellStyles>
  <dxfs count="2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z val="10"/>
        <name val="Arial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/>
        <sz val="10"/>
        <color theme="0"/>
        <name val="Arial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fill>
        <patternFill patternType="solid">
          <fgColor indexed="64"/>
          <bgColor theme="8" tint="-0.49998474074526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bottom style="medium">
          <color rgb="FF000000"/>
        </bottom>
      </border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sz val="10"/>
        <name val="Arial"/>
      </font>
      <numFmt numFmtId="165" formatCode="&quot;R$&quot;\ #,##0.00"/>
      <alignment horizontal="center" vertical="center" textRotation="0" wrapText="0" indent="0" justifyLastLine="0" shrinkToFit="0" readingOrder="0"/>
    </dxf>
    <dxf>
      <font>
        <b/>
        <sz val="10"/>
        <color theme="0"/>
        <name val="Arial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fill>
        <patternFill patternType="solid">
          <fgColor indexed="64"/>
          <bgColor theme="8" tint="-0.49998474074526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2"/>
        <name val="Calibri"/>
        <scheme val="minor"/>
      </font>
      <fill>
        <patternFill patternType="none"/>
      </fill>
      <alignment horizontal="center" vertical="center"/>
    </dxf>
    <dxf>
      <font>
        <sz val="12"/>
        <name val="Calibri"/>
        <scheme val="minor"/>
      </font>
      <fill>
        <patternFill patternType="none"/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  <name val="Calibri"/>
        <scheme val="minor"/>
      </font>
      <fill>
        <patternFill patternType="none"/>
      </fill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2" formatCode="&quot;R$&quot;\ #,##0.00;[Red]\-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2" formatCode="&quot;R$&quot;\ #,##0.00;[Red]\-&quot;R$&quot;\ #,##0.00"/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2" formatCode="&quot;R$&quot;\ #,##0.00;[Red]\-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theme="4"/>
          <bgColor theme="4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theme="4"/>
          <bgColor theme="4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theme="4"/>
          <bgColor theme="4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theme="4"/>
          <bgColor theme="4"/>
        </patternFill>
      </fill>
      <alignment horizontal="center" vertical="center"/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&quot;R$&quot;\ #,##0.00"/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theme="4"/>
          <bgColor theme="4"/>
        </patternFill>
      </fill>
      <alignment horizontal="center" vertical="center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165" formatCode="&quot;R$&quot;\ #,##0.00"/>
      <fill>
        <patternFill patternType="solid">
          <fgColor theme="4" tint="0.59999389629810485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165" formatCode="&quot;R$&quot;\ #,##0.00"/>
      <fill>
        <patternFill patternType="solid">
          <fgColor theme="4" tint="0.59999389629810485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Arial"/>
        <scheme val="none"/>
      </font>
      <numFmt numFmtId="165" formatCode="&quot;R$&quot;\ #,##0.00"/>
      <fill>
        <patternFill patternType="solid">
          <fgColor theme="4" tint="0.59999389629810485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sz val="10"/>
        <name val="Arial"/>
      </font>
    </dxf>
    <dxf>
      <font>
        <sz val="10"/>
        <name val="Arial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sz val="10"/>
        <name val="Arial"/>
      </font>
    </dxf>
    <dxf>
      <font>
        <sz val="10"/>
        <name val="Arial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A6B3C"/>
        <name val="Arial"/>
        <scheme val="none"/>
      </font>
      <numFmt numFmtId="166" formatCode="0.0&quot;%&quot;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B1A1A"/>
        <name val="Arial"/>
        <scheme val="none"/>
      </font>
      <numFmt numFmtId="166" formatCode="0.0&quot;%&quot;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B1A1A"/>
        <name val="Arial"/>
        <scheme val="none"/>
      </font>
      <numFmt numFmtId="166" formatCode="0.0&quot;%&quot;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8B1A1A"/>
        <name val="Arial"/>
        <scheme val="none"/>
      </font>
      <numFmt numFmtId="166" formatCode="0.0&quot;%&quot;"/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sz val="10"/>
        <name val="Arial"/>
      </font>
    </dxf>
    <dxf>
      <font>
        <sz val="10"/>
        <name val="Arial"/>
      </font>
    </dxf>
    <dxf>
      <font>
        <sz val="10"/>
        <name val="Arial"/>
      </font>
      <numFmt numFmtId="2" formatCode="0.00"/>
      <alignment horizontal="center" vertical="center"/>
    </dxf>
    <dxf>
      <font>
        <sz val="10"/>
        <name val="Arial"/>
      </font>
      <numFmt numFmtId="2" formatCode="0.00"/>
      <alignment horizontal="center" vertical="center"/>
    </dxf>
    <dxf>
      <font>
        <b/>
        <sz val="10"/>
        <color theme="1"/>
        <name val="Arial"/>
      </font>
      <numFmt numFmtId="1" formatCode="0"/>
      <fill>
        <patternFill patternType="solid">
          <fgColor indexed="64"/>
          <bgColor theme="0"/>
        </patternFill>
      </fill>
      <alignment horizontal="center" vertical="center"/>
    </dxf>
    <dxf>
      <font>
        <sz val="10"/>
        <name val="Arial"/>
      </font>
      <numFmt numFmtId="2" formatCode="0.00"/>
      <alignment horizontal="center" vertical="center"/>
    </dxf>
    <dxf>
      <font>
        <sz val="10"/>
        <name val="Arial"/>
      </font>
      <numFmt numFmtId="2" formatCode="0.00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/>
    </dxf>
    <dxf>
      <border>
        <left/>
        <right/>
        <top/>
        <bottom/>
      </border>
    </dxf>
    <dxf>
      <font>
        <sz val="10"/>
        <name val="Arial"/>
      </font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numFmt numFmtId="0" formatCode="General"/>
      <alignment horizontal="center" vertical="center"/>
    </dxf>
    <dxf>
      <font>
        <sz val="10"/>
        <name val="Arial"/>
      </font>
      <numFmt numFmtId="0" formatCode="General"/>
      <alignment horizontal="center" vertical="center"/>
    </dxf>
    <dxf>
      <font>
        <sz val="10"/>
        <name val="Arial"/>
      </font>
      <numFmt numFmtId="0" formatCode="General"/>
      <alignment horizontal="center" vertical="center"/>
    </dxf>
    <dxf>
      <font>
        <sz val="10"/>
        <name val="Arial"/>
      </font>
      <numFmt numFmtId="0" formatCode="General"/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</dxf>
    <dxf>
      <font>
        <sz val="10"/>
        <name val="Arial"/>
      </font>
      <numFmt numFmtId="19" formatCode="dd/mm/yyyy"/>
      <alignment horizontal="center" vertical="center"/>
    </dxf>
    <dxf>
      <border>
        <left/>
        <right/>
        <top/>
        <bottom/>
      </border>
    </dxf>
    <dxf>
      <font>
        <sz val="10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fill>
        <patternFill patternType="solid">
          <fgColor indexed="64"/>
          <bgColor theme="4" tint="-0.499984740745262"/>
        </patternFill>
      </fill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sz val="10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8B1A1A"/>
          <bgColor rgb="FF8B1A1A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sz val="10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1A6B3C"/>
          <bgColor rgb="FF1A6B3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border outline="0">
        <right style="thin">
          <color rgb="FFCCCCCC"/>
        </right>
        <top style="thin">
          <color rgb="FFCCCCCC"/>
        </top>
      </border>
    </dxf>
    <dxf>
      <font>
        <sz val="10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minor"/>
      </font>
      <fill>
        <patternFill patternType="solid">
          <fgColor rgb="FF2E86AB"/>
          <bgColor rgb="FF2E86A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sz val="10"/>
        <name val="Arial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z val="10"/>
        <name val="Arial"/>
      </font>
      <alignment horizontal="center" vertical="center"/>
    </dxf>
    <dxf>
      <font>
        <sz val="10"/>
        <name val="Arial"/>
      </font>
      <alignment horizontal="center" vertical="center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0.499984740745262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</border>
    </dxf>
    <dxf>
      <font>
        <b val="0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sz val="12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/>
    </dxf>
    <dxf>
      <font>
        <b val="0"/>
        <sz val="12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sz val="12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sz val="12"/>
        <name val="Calibri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sz val="12"/>
        <name val="Calibri"/>
        <scheme val="minor"/>
      </font>
      <alignment horizontal="center" vertical="center"/>
    </dxf>
    <dxf>
      <font>
        <b val="0"/>
        <sz val="14"/>
        <name val="Calibri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/>
    </dxf>
    <dxf>
      <fill>
        <patternFill patternType="solid">
          <fgColor indexed="64"/>
          <bgColor theme="4" tint="-0.499984740745262"/>
        </patternFill>
      </fill>
    </dxf>
    <dxf>
      <fill>
        <patternFill patternType="solid">
          <fgColor indexed="64"/>
          <bgColor theme="4" tint="-0.499984740745262"/>
        </patternFill>
      </fill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  <dxf>
      <border outline="0">
        <left/>
        <right/>
        <top/>
        <bottom/>
      </border>
    </dxf>
  </dxfs>
  <tableStyles count="0" defaultTableStyle="TableStyleMedium2" defaultPivotStyle="PivotStyleMedium9"/>
  <colors>
    <mruColors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Crescimento populacional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População!$E$4</c:f>
              <c:strCache>
                <c:ptCount val="1"/>
                <c:pt idx="0">
                  <c:v>Macaé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População!$B$5:$B$24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População!$E$5:$E$24</c:f>
              <c:numCache>
                <c:formatCode>#,##0</c:formatCode>
                <c:ptCount val="20"/>
                <c:pt idx="0">
                  <c:v>173762</c:v>
                </c:pt>
                <c:pt idx="1">
                  <c:v>180646</c:v>
                </c:pt>
                <c:pt idx="2">
                  <c:v>187529</c:v>
                </c:pt>
                <c:pt idx="3">
                  <c:v>194413</c:v>
                </c:pt>
                <c:pt idx="4">
                  <c:v>206728</c:v>
                </c:pt>
                <c:pt idx="5">
                  <c:v>212341</c:v>
                </c:pt>
                <c:pt idx="6">
                  <c:v>217954</c:v>
                </c:pt>
                <c:pt idx="7">
                  <c:v>223567</c:v>
                </c:pt>
                <c:pt idx="8">
                  <c:v>229180</c:v>
                </c:pt>
                <c:pt idx="9">
                  <c:v>234792</c:v>
                </c:pt>
                <c:pt idx="10">
                  <c:v>240405</c:v>
                </c:pt>
                <c:pt idx="11">
                  <c:v>246018</c:v>
                </c:pt>
                <c:pt idx="12">
                  <c:v>251631</c:v>
                </c:pt>
                <c:pt idx="13">
                  <c:v>256466</c:v>
                </c:pt>
                <c:pt idx="14">
                  <c:v>261301</c:v>
                </c:pt>
                <c:pt idx="15">
                  <c:v>266136</c:v>
                </c:pt>
                <c:pt idx="16">
                  <c:v>246391</c:v>
                </c:pt>
                <c:pt idx="17">
                  <c:v>252407</c:v>
                </c:pt>
                <c:pt idx="18">
                  <c:v>258423</c:v>
                </c:pt>
                <c:pt idx="19">
                  <c:v>264439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ED-42E8-A454-7140782C7B74}"/>
            </c:ext>
          </c:extLst>
        </c:ser>
        <c:ser>
          <c:idx val="2"/>
          <c:order val="1"/>
          <c:tx>
            <c:strRef>
              <c:f>População!$C$4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População!$B$5:$B$24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População!$C$5:$C$24</c:f>
              <c:numCache>
                <c:formatCode>#,##0</c:formatCode>
                <c:ptCount val="20"/>
                <c:pt idx="0">
                  <c:v>49868</c:v>
                </c:pt>
                <c:pt idx="1">
                  <c:v>74750</c:v>
                </c:pt>
                <c:pt idx="2">
                  <c:v>91085</c:v>
                </c:pt>
                <c:pt idx="3">
                  <c:v>96622</c:v>
                </c:pt>
                <c:pt idx="4">
                  <c:v>105676</c:v>
                </c:pt>
                <c:pt idx="5">
                  <c:v>110992</c:v>
                </c:pt>
                <c:pt idx="6">
                  <c:v>116134</c:v>
                </c:pt>
                <c:pt idx="7">
                  <c:v>122196</c:v>
                </c:pt>
                <c:pt idx="8">
                  <c:v>127171</c:v>
                </c:pt>
                <c:pt idx="9">
                  <c:v>131976</c:v>
                </c:pt>
                <c:pt idx="10">
                  <c:v>136626</c:v>
                </c:pt>
                <c:pt idx="11">
                  <c:v>141117</c:v>
                </c:pt>
                <c:pt idx="12">
                  <c:v>145989</c:v>
                </c:pt>
                <c:pt idx="13">
                  <c:v>150674</c:v>
                </c:pt>
                <c:pt idx="14">
                  <c:v>155193</c:v>
                </c:pt>
                <c:pt idx="15">
                  <c:v>159529</c:v>
                </c:pt>
                <c:pt idx="16">
                  <c:v>156491</c:v>
                </c:pt>
                <c:pt idx="17">
                  <c:v>162295</c:v>
                </c:pt>
                <c:pt idx="18">
                  <c:v>168099</c:v>
                </c:pt>
                <c:pt idx="19">
                  <c:v>168455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3ED-42E8-A454-7140782C7B74}"/>
            </c:ext>
          </c:extLst>
        </c:ser>
        <c:ser>
          <c:idx val="0"/>
          <c:order val="2"/>
          <c:tx>
            <c:strRef>
              <c:f>População!$D$4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População!$B$5:$B$24</c:f>
              <c:numCache>
                <c:formatCode>General</c:formatCode>
                <c:ptCount val="20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2020</c:v>
                </c:pt>
                <c:pt idx="15">
                  <c:v>2021</c:v>
                </c:pt>
                <c:pt idx="16">
                  <c:v>2022</c:v>
                </c:pt>
                <c:pt idx="17">
                  <c:v>2023</c:v>
                </c:pt>
                <c:pt idx="18">
                  <c:v>2024</c:v>
                </c:pt>
                <c:pt idx="19">
                  <c:v>2025</c:v>
                </c:pt>
              </c:numCache>
            </c:numRef>
          </c:cat>
          <c:val>
            <c:numRef>
              <c:f>População!$D$5:$D$24</c:f>
              <c:numCache>
                <c:formatCode>#,##0</c:formatCode>
                <c:ptCount val="20"/>
                <c:pt idx="0">
                  <c:v>162467</c:v>
                </c:pt>
                <c:pt idx="1">
                  <c:v>168407</c:v>
                </c:pt>
                <c:pt idx="2">
                  <c:v>174347</c:v>
                </c:pt>
                <c:pt idx="3">
                  <c:v>180287</c:v>
                </c:pt>
                <c:pt idx="4">
                  <c:v>186227</c:v>
                </c:pt>
                <c:pt idx="5">
                  <c:v>190765</c:v>
                </c:pt>
                <c:pt idx="6">
                  <c:v>195302</c:v>
                </c:pt>
                <c:pt idx="7">
                  <c:v>199840</c:v>
                </c:pt>
                <c:pt idx="8">
                  <c:v>204378</c:v>
                </c:pt>
                <c:pt idx="9">
                  <c:v>208915</c:v>
                </c:pt>
                <c:pt idx="10">
                  <c:v>213453</c:v>
                </c:pt>
                <c:pt idx="11">
                  <c:v>217990</c:v>
                </c:pt>
                <c:pt idx="12">
                  <c:v>222528</c:v>
                </c:pt>
                <c:pt idx="13">
                  <c:v>222436</c:v>
                </c:pt>
                <c:pt idx="14">
                  <c:v>222344</c:v>
                </c:pt>
                <c:pt idx="15">
                  <c:v>222253</c:v>
                </c:pt>
                <c:pt idx="16">
                  <c:v>222161</c:v>
                </c:pt>
                <c:pt idx="17">
                  <c:v>230164</c:v>
                </c:pt>
                <c:pt idx="18">
                  <c:v>238166</c:v>
                </c:pt>
                <c:pt idx="19">
                  <c:v>238438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ED-42E8-A454-7140782C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6562056"/>
        <c:axId val="1826565128"/>
      </c:lineChart>
      <c:catAx>
        <c:axId val="182656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565128"/>
        <c:crosses val="autoZero"/>
        <c:auto val="1"/>
        <c:lblAlgn val="ctr"/>
        <c:lblOffset val="100"/>
        <c:noMultiLvlLbl val="0"/>
      </c:catAx>
      <c:valAx>
        <c:axId val="1826565128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656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Furtos / 100k hab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Violência!$E$19</c:f>
              <c:strCache>
                <c:ptCount val="1"/>
                <c:pt idx="0">
                  <c:v>Furtos_RO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Violência!$E$20:$E$31</c:f>
              <c:numCache>
                <c:formatCode>#,##0</c:formatCode>
                <c:ptCount val="12"/>
                <c:pt idx="0">
                  <c:v>1439.2</c:v>
                </c:pt>
                <c:pt idx="1">
                  <c:v>1373.9</c:v>
                </c:pt>
                <c:pt idx="2">
                  <c:v>1129.4000000000001</c:v>
                </c:pt>
                <c:pt idx="3">
                  <c:v>946.4</c:v>
                </c:pt>
                <c:pt idx="4">
                  <c:v>886.4</c:v>
                </c:pt>
                <c:pt idx="5">
                  <c:v>1034.9000000000001</c:v>
                </c:pt>
                <c:pt idx="6">
                  <c:v>800.1</c:v>
                </c:pt>
                <c:pt idx="7">
                  <c:v>814.3</c:v>
                </c:pt>
                <c:pt idx="8">
                  <c:v>828.2</c:v>
                </c:pt>
                <c:pt idx="9">
                  <c:v>806.6</c:v>
                </c:pt>
                <c:pt idx="10">
                  <c:v>735.7</c:v>
                </c:pt>
                <c:pt idx="11">
                  <c:v>710.6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BD-4293-B7E4-A1B3B560A330}"/>
            </c:ext>
          </c:extLst>
        </c:ser>
        <c:ser>
          <c:idx val="2"/>
          <c:order val="1"/>
          <c:tx>
            <c:strRef>
              <c:f>Violência!$H$19</c:f>
              <c:strCache>
                <c:ptCount val="1"/>
                <c:pt idx="0">
                  <c:v>Furtos_CF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Violência!$H$20:$H$31</c:f>
              <c:numCache>
                <c:formatCode>#,##0</c:formatCode>
                <c:ptCount val="12"/>
                <c:pt idx="0">
                  <c:v>1308.8</c:v>
                </c:pt>
                <c:pt idx="1">
                  <c:v>1096.0999999999999</c:v>
                </c:pt>
                <c:pt idx="2">
                  <c:v>844.7</c:v>
                </c:pt>
                <c:pt idx="3">
                  <c:v>791.3</c:v>
                </c:pt>
                <c:pt idx="4">
                  <c:v>648</c:v>
                </c:pt>
                <c:pt idx="5">
                  <c:v>845.2</c:v>
                </c:pt>
                <c:pt idx="6">
                  <c:v>695.8</c:v>
                </c:pt>
                <c:pt idx="7">
                  <c:v>616.9</c:v>
                </c:pt>
                <c:pt idx="8">
                  <c:v>973.6</c:v>
                </c:pt>
                <c:pt idx="9">
                  <c:v>971.9</c:v>
                </c:pt>
                <c:pt idx="10">
                  <c:v>933</c:v>
                </c:pt>
                <c:pt idx="11">
                  <c:v>981.4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BD-4293-B7E4-A1B3B560A330}"/>
            </c:ext>
          </c:extLst>
        </c:ser>
        <c:ser>
          <c:idx val="3"/>
          <c:order val="2"/>
          <c:tx>
            <c:strRef>
              <c:f>Violência!$K$19</c:f>
              <c:strCache>
                <c:ptCount val="1"/>
                <c:pt idx="0">
                  <c:v>Furtos_RL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Violência!$K$20:$K$31</c:f>
              <c:numCache>
                <c:formatCode>#,##0</c:formatCode>
                <c:ptCount val="12"/>
                <c:pt idx="0">
                  <c:v>1182.5</c:v>
                </c:pt>
                <c:pt idx="1">
                  <c:v>1079</c:v>
                </c:pt>
                <c:pt idx="2">
                  <c:v>938</c:v>
                </c:pt>
                <c:pt idx="3">
                  <c:v>820.3</c:v>
                </c:pt>
                <c:pt idx="4">
                  <c:v>797.2</c:v>
                </c:pt>
                <c:pt idx="5">
                  <c:v>908.9</c:v>
                </c:pt>
                <c:pt idx="6">
                  <c:v>660.1</c:v>
                </c:pt>
                <c:pt idx="7">
                  <c:v>629.29999999999995</c:v>
                </c:pt>
                <c:pt idx="8">
                  <c:v>801.4</c:v>
                </c:pt>
                <c:pt idx="9">
                  <c:v>769.3</c:v>
                </c:pt>
                <c:pt idx="10">
                  <c:v>780</c:v>
                </c:pt>
                <c:pt idx="11">
                  <c:v>762.3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BD-4293-B7E4-A1B3B560A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9217032"/>
        <c:axId val="1369226248"/>
      </c:lineChart>
      <c:catAx>
        <c:axId val="136921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226248"/>
        <c:crosses val="autoZero"/>
        <c:auto val="1"/>
        <c:lblAlgn val="ctr"/>
        <c:lblOffset val="100"/>
        <c:noMultiLvlLbl val="0"/>
      </c:catAx>
      <c:valAx>
        <c:axId val="1369226248"/>
        <c:scaling>
          <c:orientation val="minMax"/>
          <c:max val="150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921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Homicídio Doloso / 100k hab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Violência!$F$19</c:f>
              <c:strCache>
                <c:ptCount val="1"/>
                <c:pt idx="0">
                  <c:v>HD_RO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Violência!$F$20:$F$31</c:f>
              <c:numCache>
                <c:formatCode>#,##0</c:formatCode>
                <c:ptCount val="12"/>
                <c:pt idx="0">
                  <c:v>35</c:v>
                </c:pt>
                <c:pt idx="1">
                  <c:v>38.200000000000003</c:v>
                </c:pt>
                <c:pt idx="2">
                  <c:v>58.9</c:v>
                </c:pt>
                <c:pt idx="3">
                  <c:v>44</c:v>
                </c:pt>
                <c:pt idx="4">
                  <c:v>41.8</c:v>
                </c:pt>
                <c:pt idx="5">
                  <c:v>21.5</c:v>
                </c:pt>
                <c:pt idx="6">
                  <c:v>43</c:v>
                </c:pt>
                <c:pt idx="7">
                  <c:v>40.9</c:v>
                </c:pt>
                <c:pt idx="8">
                  <c:v>20.399999999999999</c:v>
                </c:pt>
                <c:pt idx="9">
                  <c:v>15.4</c:v>
                </c:pt>
                <c:pt idx="10">
                  <c:v>13.4</c:v>
                </c:pt>
                <c:pt idx="11">
                  <c:v>11.9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A5-47B6-BB5A-7A8EDBD8C42A}"/>
            </c:ext>
          </c:extLst>
        </c:ser>
        <c:ser>
          <c:idx val="2"/>
          <c:order val="1"/>
          <c:tx>
            <c:strRef>
              <c:f>Violência!$I$19</c:f>
              <c:strCache>
                <c:ptCount val="1"/>
                <c:pt idx="0">
                  <c:v>HD_CF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Violência!$I$20:$I$31</c:f>
              <c:numCache>
                <c:formatCode>#,##0</c:formatCode>
                <c:ptCount val="12"/>
                <c:pt idx="0">
                  <c:v>71.400000000000006</c:v>
                </c:pt>
                <c:pt idx="1">
                  <c:v>61.7</c:v>
                </c:pt>
                <c:pt idx="2">
                  <c:v>58.6</c:v>
                </c:pt>
                <c:pt idx="3">
                  <c:v>54.1</c:v>
                </c:pt>
                <c:pt idx="4">
                  <c:v>48.1</c:v>
                </c:pt>
                <c:pt idx="5">
                  <c:v>42.7</c:v>
                </c:pt>
                <c:pt idx="6">
                  <c:v>39.6</c:v>
                </c:pt>
                <c:pt idx="7">
                  <c:v>36.4</c:v>
                </c:pt>
                <c:pt idx="8">
                  <c:v>34.700000000000003</c:v>
                </c:pt>
                <c:pt idx="9">
                  <c:v>28.2</c:v>
                </c:pt>
                <c:pt idx="10">
                  <c:v>41.6</c:v>
                </c:pt>
                <c:pt idx="11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A5-47B6-BB5A-7A8EDBD8C42A}"/>
            </c:ext>
          </c:extLst>
        </c:ser>
        <c:ser>
          <c:idx val="3"/>
          <c:order val="2"/>
          <c:tx>
            <c:strRef>
              <c:f>Violência!$L$19</c:f>
              <c:strCache>
                <c:ptCount val="1"/>
                <c:pt idx="0">
                  <c:v>HD_RL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Violência!$L$20:$L$31</c:f>
              <c:numCache>
                <c:formatCode>#,##0</c:formatCode>
                <c:ptCount val="12"/>
                <c:pt idx="0">
                  <c:v>42.7</c:v>
                </c:pt>
                <c:pt idx="1">
                  <c:v>40.4</c:v>
                </c:pt>
                <c:pt idx="2">
                  <c:v>51.3</c:v>
                </c:pt>
                <c:pt idx="3">
                  <c:v>47.6</c:v>
                </c:pt>
                <c:pt idx="4">
                  <c:v>45.7</c:v>
                </c:pt>
                <c:pt idx="5">
                  <c:v>32.1</c:v>
                </c:pt>
                <c:pt idx="6">
                  <c:v>36.5</c:v>
                </c:pt>
                <c:pt idx="7">
                  <c:v>35.1</c:v>
                </c:pt>
                <c:pt idx="8">
                  <c:v>27.6</c:v>
                </c:pt>
                <c:pt idx="9">
                  <c:v>28</c:v>
                </c:pt>
                <c:pt idx="10">
                  <c:v>28</c:v>
                </c:pt>
                <c:pt idx="11">
                  <c:v>23.1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6A5-47B6-BB5A-7A8EDBD8C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1026824"/>
        <c:axId val="1541028872"/>
      </c:lineChart>
      <c:catAx>
        <c:axId val="1541026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28872"/>
        <c:crosses val="autoZero"/>
        <c:auto val="1"/>
        <c:lblAlgn val="ctr"/>
        <c:lblOffset val="100"/>
        <c:noMultiLvlLbl val="0"/>
      </c:catAx>
      <c:valAx>
        <c:axId val="154102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02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Roubos / 100k hab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Violência!$D$19</c:f>
              <c:strCache>
                <c:ptCount val="1"/>
                <c:pt idx="0">
                  <c:v>Roubos_RO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Violência!$D$20:$D$31</c:f>
              <c:numCache>
                <c:formatCode>#,##0</c:formatCode>
                <c:ptCount val="12"/>
                <c:pt idx="0">
                  <c:v>681.1</c:v>
                </c:pt>
                <c:pt idx="1">
                  <c:v>565.4</c:v>
                </c:pt>
                <c:pt idx="2">
                  <c:v>804.9</c:v>
                </c:pt>
                <c:pt idx="3">
                  <c:v>651.29999999999995</c:v>
                </c:pt>
                <c:pt idx="4">
                  <c:v>779.5</c:v>
                </c:pt>
                <c:pt idx="5">
                  <c:v>569.29999999999995</c:v>
                </c:pt>
                <c:pt idx="6">
                  <c:v>458.9</c:v>
                </c:pt>
                <c:pt idx="7">
                  <c:v>368.5</c:v>
                </c:pt>
                <c:pt idx="8">
                  <c:v>295.2</c:v>
                </c:pt>
                <c:pt idx="9">
                  <c:v>160.80000000000001</c:v>
                </c:pt>
                <c:pt idx="10">
                  <c:v>94.9</c:v>
                </c:pt>
                <c:pt idx="11">
                  <c:v>86.7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73-460D-96A2-5BE5AB1116BD}"/>
            </c:ext>
          </c:extLst>
        </c:ser>
        <c:ser>
          <c:idx val="2"/>
          <c:order val="1"/>
          <c:tx>
            <c:strRef>
              <c:f>Violência!$G$19</c:f>
              <c:strCache>
                <c:ptCount val="1"/>
                <c:pt idx="0">
                  <c:v>Roubos_CF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Violência!$G$20:$G$31</c:f>
              <c:numCache>
                <c:formatCode>#,##0</c:formatCode>
                <c:ptCount val="12"/>
                <c:pt idx="0">
                  <c:v>454.5</c:v>
                </c:pt>
                <c:pt idx="1">
                  <c:v>342.7</c:v>
                </c:pt>
                <c:pt idx="2">
                  <c:v>446</c:v>
                </c:pt>
                <c:pt idx="3">
                  <c:v>481.2</c:v>
                </c:pt>
                <c:pt idx="4">
                  <c:v>431.4</c:v>
                </c:pt>
                <c:pt idx="5">
                  <c:v>464</c:v>
                </c:pt>
                <c:pt idx="6">
                  <c:v>282.39999999999998</c:v>
                </c:pt>
                <c:pt idx="7">
                  <c:v>245.2</c:v>
                </c:pt>
                <c:pt idx="8">
                  <c:v>223.7</c:v>
                </c:pt>
                <c:pt idx="9">
                  <c:v>166.4</c:v>
                </c:pt>
                <c:pt idx="10">
                  <c:v>167.8</c:v>
                </c:pt>
                <c:pt idx="11">
                  <c:v>141.30000000000001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73-460D-96A2-5BE5AB1116BD}"/>
            </c:ext>
          </c:extLst>
        </c:ser>
        <c:ser>
          <c:idx val="3"/>
          <c:order val="2"/>
          <c:tx>
            <c:strRef>
              <c:f>Violência!$J$19</c:f>
              <c:strCache>
                <c:ptCount val="1"/>
                <c:pt idx="0">
                  <c:v>Roubos_RL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Violência!$C$20:$C$31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Violência!$J$20:$J$31</c:f>
              <c:numCache>
                <c:formatCode>#,##0</c:formatCode>
                <c:ptCount val="12"/>
                <c:pt idx="0">
                  <c:v>380.5</c:v>
                </c:pt>
                <c:pt idx="1">
                  <c:v>321.3</c:v>
                </c:pt>
                <c:pt idx="2">
                  <c:v>448.5</c:v>
                </c:pt>
                <c:pt idx="3">
                  <c:v>461.3</c:v>
                </c:pt>
                <c:pt idx="4">
                  <c:v>461.6</c:v>
                </c:pt>
                <c:pt idx="5">
                  <c:v>421.5</c:v>
                </c:pt>
                <c:pt idx="6">
                  <c:v>271.60000000000002</c:v>
                </c:pt>
                <c:pt idx="7">
                  <c:v>244.8</c:v>
                </c:pt>
                <c:pt idx="8">
                  <c:v>210.2</c:v>
                </c:pt>
                <c:pt idx="9">
                  <c:v>138.1</c:v>
                </c:pt>
                <c:pt idx="10">
                  <c:v>122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73-460D-96A2-5BE5AB111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4188296"/>
        <c:axId val="2114190344"/>
      </c:lineChart>
      <c:catAx>
        <c:axId val="211418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90344"/>
        <c:crosses val="autoZero"/>
        <c:auto val="1"/>
        <c:lblAlgn val="ctr"/>
        <c:lblOffset val="100"/>
        <c:noMultiLvlLbl val="0"/>
      </c:catAx>
      <c:valAx>
        <c:axId val="2114190344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18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Interesse digital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'Interesse digital'!$L$1</c:f>
              <c:strCache>
                <c:ptCount val="1"/>
                <c:pt idx="0">
                  <c:v>Demanda CF / mês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'Interesse digital'!$K$2:$K$13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'Interesse digital'!$L$2:$L$13</c:f>
              <c:numCache>
                <c:formatCode>General</c:formatCode>
                <c:ptCount val="12"/>
                <c:pt idx="0">
                  <c:v>2617</c:v>
                </c:pt>
                <c:pt idx="1">
                  <c:v>1447</c:v>
                </c:pt>
                <c:pt idx="2">
                  <c:v>1109</c:v>
                </c:pt>
                <c:pt idx="3">
                  <c:v>813</c:v>
                </c:pt>
                <c:pt idx="4">
                  <c:v>581</c:v>
                </c:pt>
                <c:pt idx="5">
                  <c:v>599</c:v>
                </c:pt>
                <c:pt idx="6">
                  <c:v>896</c:v>
                </c:pt>
                <c:pt idx="7">
                  <c:v>970</c:v>
                </c:pt>
                <c:pt idx="8">
                  <c:v>1287</c:v>
                </c:pt>
                <c:pt idx="9">
                  <c:v>1528</c:v>
                </c:pt>
                <c:pt idx="10">
                  <c:v>1604</c:v>
                </c:pt>
                <c:pt idx="11">
                  <c:v>1968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06-4F8E-804D-1DB2790D2764}"/>
            </c:ext>
          </c:extLst>
        </c:ser>
        <c:ser>
          <c:idx val="2"/>
          <c:order val="1"/>
          <c:tx>
            <c:strRef>
              <c:f>'Interesse digital'!$M$1</c:f>
              <c:strCache>
                <c:ptCount val="1"/>
                <c:pt idx="0">
                  <c:v>Demanda RO / mês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'Interesse digital'!$K$2:$K$13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'Interesse digital'!$M$2:$M$13</c:f>
              <c:numCache>
                <c:formatCode>General</c:formatCode>
                <c:ptCount val="12"/>
                <c:pt idx="0">
                  <c:v>616</c:v>
                </c:pt>
                <c:pt idx="1">
                  <c:v>355</c:v>
                </c:pt>
                <c:pt idx="2">
                  <c:v>287</c:v>
                </c:pt>
                <c:pt idx="3">
                  <c:v>216</c:v>
                </c:pt>
                <c:pt idx="4">
                  <c:v>195</c:v>
                </c:pt>
                <c:pt idx="5">
                  <c:v>200</c:v>
                </c:pt>
                <c:pt idx="6">
                  <c:v>206</c:v>
                </c:pt>
                <c:pt idx="7">
                  <c:v>230</c:v>
                </c:pt>
                <c:pt idx="8">
                  <c:v>259</c:v>
                </c:pt>
                <c:pt idx="9">
                  <c:v>313</c:v>
                </c:pt>
                <c:pt idx="10">
                  <c:v>348</c:v>
                </c:pt>
                <c:pt idx="11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06-4F8E-804D-1DB2790D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83047"/>
        <c:axId val="24916999"/>
      </c:lineChart>
      <c:catAx>
        <c:axId val="23383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16999"/>
        <c:crosses val="autoZero"/>
        <c:auto val="1"/>
        <c:lblAlgn val="ctr"/>
        <c:lblOffset val="100"/>
        <c:noMultiLvlLbl val="0"/>
      </c:catAx>
      <c:valAx>
        <c:axId val="24916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383047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Rio das Ostras.xlsx]Interesse digital!interesse_anos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Interesse Digital ao longo dos 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'Interesse digital'!$L$15</c:f>
              <c:strCache>
                <c:ptCount val="1"/>
                <c:pt idx="0">
                  <c:v>Demanda CF / ano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'Interesse digital'!$K$16:$K$38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'Interesse digital'!$L$16:$L$38</c:f>
              <c:numCache>
                <c:formatCode>General</c:formatCode>
                <c:ptCount val="23"/>
                <c:pt idx="0">
                  <c:v>377</c:v>
                </c:pt>
                <c:pt idx="1">
                  <c:v>396</c:v>
                </c:pt>
                <c:pt idx="2">
                  <c:v>541</c:v>
                </c:pt>
                <c:pt idx="3">
                  <c:v>603</c:v>
                </c:pt>
                <c:pt idx="4">
                  <c:v>676</c:v>
                </c:pt>
                <c:pt idx="5">
                  <c:v>941</c:v>
                </c:pt>
                <c:pt idx="6">
                  <c:v>851</c:v>
                </c:pt>
                <c:pt idx="7">
                  <c:v>793</c:v>
                </c:pt>
                <c:pt idx="8">
                  <c:v>768</c:v>
                </c:pt>
                <c:pt idx="9">
                  <c:v>747</c:v>
                </c:pt>
                <c:pt idx="10">
                  <c:v>843</c:v>
                </c:pt>
                <c:pt idx="11">
                  <c:v>887</c:v>
                </c:pt>
                <c:pt idx="12">
                  <c:v>800</c:v>
                </c:pt>
                <c:pt idx="13">
                  <c:v>869</c:v>
                </c:pt>
                <c:pt idx="14">
                  <c:v>858</c:v>
                </c:pt>
                <c:pt idx="15">
                  <c:v>813</c:v>
                </c:pt>
                <c:pt idx="16">
                  <c:v>615</c:v>
                </c:pt>
                <c:pt idx="17">
                  <c:v>622</c:v>
                </c:pt>
                <c:pt idx="18">
                  <c:v>666</c:v>
                </c:pt>
                <c:pt idx="19">
                  <c:v>616</c:v>
                </c:pt>
                <c:pt idx="20">
                  <c:v>507</c:v>
                </c:pt>
                <c:pt idx="21">
                  <c:v>429</c:v>
                </c:pt>
                <c:pt idx="22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C5-4F03-89FB-5B9C06CB9D23}"/>
            </c:ext>
          </c:extLst>
        </c:ser>
        <c:ser>
          <c:idx val="1"/>
          <c:order val="1"/>
          <c:tx>
            <c:strRef>
              <c:f>'Interesse digital'!$M$15</c:f>
              <c:strCache>
                <c:ptCount val="1"/>
                <c:pt idx="0">
                  <c:v>Demanda RO / ano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'Interesse digital'!$K$16:$K$38</c:f>
              <c:strCache>
                <c:ptCount val="23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  <c:pt idx="21">
                  <c:v>2025</c:v>
                </c:pt>
                <c:pt idx="22">
                  <c:v>2026</c:v>
                </c:pt>
              </c:strCache>
            </c:strRef>
          </c:cat>
          <c:val>
            <c:numRef>
              <c:f>'Interesse digital'!$M$16:$M$38</c:f>
              <c:numCache>
                <c:formatCode>General</c:formatCode>
                <c:ptCount val="23"/>
                <c:pt idx="0">
                  <c:v>30</c:v>
                </c:pt>
                <c:pt idx="1">
                  <c:v>64</c:v>
                </c:pt>
                <c:pt idx="2">
                  <c:v>127</c:v>
                </c:pt>
                <c:pt idx="3">
                  <c:v>182</c:v>
                </c:pt>
                <c:pt idx="4">
                  <c:v>207</c:v>
                </c:pt>
                <c:pt idx="5">
                  <c:v>267</c:v>
                </c:pt>
                <c:pt idx="6">
                  <c:v>246</c:v>
                </c:pt>
                <c:pt idx="7">
                  <c:v>240</c:v>
                </c:pt>
                <c:pt idx="8">
                  <c:v>248</c:v>
                </c:pt>
                <c:pt idx="9">
                  <c:v>216</c:v>
                </c:pt>
                <c:pt idx="10">
                  <c:v>238</c:v>
                </c:pt>
                <c:pt idx="11">
                  <c:v>209</c:v>
                </c:pt>
                <c:pt idx="12">
                  <c:v>148</c:v>
                </c:pt>
                <c:pt idx="13">
                  <c:v>130</c:v>
                </c:pt>
                <c:pt idx="14">
                  <c:v>148</c:v>
                </c:pt>
                <c:pt idx="15">
                  <c:v>149</c:v>
                </c:pt>
                <c:pt idx="16">
                  <c:v>126</c:v>
                </c:pt>
                <c:pt idx="17">
                  <c:v>129</c:v>
                </c:pt>
                <c:pt idx="18">
                  <c:v>144</c:v>
                </c:pt>
                <c:pt idx="19">
                  <c:v>141</c:v>
                </c:pt>
                <c:pt idx="20">
                  <c:v>118</c:v>
                </c:pt>
                <c:pt idx="21">
                  <c:v>103</c:v>
                </c:pt>
                <c:pt idx="2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C5-4F03-89FB-5B9C06CB9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760712"/>
        <c:axId val="552023560"/>
      </c:lineChart>
      <c:catAx>
        <c:axId val="546760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23560"/>
        <c:crosses val="autoZero"/>
        <c:auto val="1"/>
        <c:lblAlgn val="ctr"/>
        <c:lblOffset val="100"/>
        <c:noMultiLvlLbl val="0"/>
      </c:catAx>
      <c:valAx>
        <c:axId val="552023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760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EMPREGOS FORMAIS NO SETOR TURISMO / 1k habitantes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'Empregos Turismo'!$C$3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'Empregos Turismo'!$B$4:$B$15</c:f>
              <c:numCache>
                <c:formatCode>0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'Empregos Turismo'!$C$4:$C$15</c:f>
              <c:numCache>
                <c:formatCode>0.00</c:formatCode>
                <c:ptCount val="12"/>
                <c:pt idx="0">
                  <c:v>4.8828494644006213</c:v>
                </c:pt>
                <c:pt idx="1">
                  <c:v>4.3786939599250401</c:v>
                </c:pt>
                <c:pt idx="2">
                  <c:v>4.3914788089620611</c:v>
                </c:pt>
                <c:pt idx="3">
                  <c:v>5.6384824380503451</c:v>
                </c:pt>
                <c:pt idx="4">
                  <c:v>4.8202813534532245</c:v>
                </c:pt>
                <c:pt idx="5">
                  <c:v>4.3568527611080805</c:v>
                </c:pt>
                <c:pt idx="6">
                  <c:v>2.8252309223720227</c:v>
                </c:pt>
                <c:pt idx="7">
                  <c:v>2.3739166790677242</c:v>
                </c:pt>
                <c:pt idx="8">
                  <c:v>2.1302974881669168</c:v>
                </c:pt>
                <c:pt idx="9">
                  <c:v>2.1437009703067549</c:v>
                </c:pt>
                <c:pt idx="10">
                  <c:v>1.9975127744163721</c:v>
                </c:pt>
                <c:pt idx="11">
                  <c:v>2.1751531069586094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0-4F99-ABC4-571BA1DDE68D}"/>
            </c:ext>
          </c:extLst>
        </c:ser>
        <c:ser>
          <c:idx val="2"/>
          <c:order val="1"/>
          <c:tx>
            <c:strRef>
              <c:f>'Empregos Turismo'!$D$3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'Empregos Turismo'!$B$4:$B$15</c:f>
              <c:numCache>
                <c:formatCode>0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'Empregos Turismo'!$D$4:$D$15</c:f>
              <c:numCache>
                <c:formatCode>0.00</c:formatCode>
                <c:ptCount val="12"/>
                <c:pt idx="0">
                  <c:v>6.5565143615050445</c:v>
                </c:pt>
                <c:pt idx="1">
                  <c:v>7.5852488664063111</c:v>
                </c:pt>
                <c:pt idx="2">
                  <c:v>7.7520967527214264</c:v>
                </c:pt>
                <c:pt idx="3">
                  <c:v>8.3116493194555652</c:v>
                </c:pt>
                <c:pt idx="4">
                  <c:v>8.4255643953850221</c:v>
                </c:pt>
                <c:pt idx="5">
                  <c:v>8.8983557906325537</c:v>
                </c:pt>
                <c:pt idx="6">
                  <c:v>9.4025382636927102</c:v>
                </c:pt>
                <c:pt idx="7">
                  <c:v>8.9361897334740128</c:v>
                </c:pt>
                <c:pt idx="8">
                  <c:v>8.3315358067299385</c:v>
                </c:pt>
                <c:pt idx="9">
                  <c:v>8.1101979895340683</c:v>
                </c:pt>
                <c:pt idx="10">
                  <c:v>8.1000611664807689</c:v>
                </c:pt>
                <c:pt idx="11">
                  <c:v>7.9009057245571483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10-4F99-ABC4-571BA1DDE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757448"/>
        <c:axId val="633029128"/>
      </c:lineChart>
      <c:catAx>
        <c:axId val="55775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029128"/>
        <c:crosses val="autoZero"/>
        <c:auto val="1"/>
        <c:lblAlgn val="ctr"/>
        <c:lblOffset val="100"/>
        <c:noMultiLvlLbl val="0"/>
      </c:catAx>
      <c:valAx>
        <c:axId val="63302912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757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EMPREGOS FORMAIS / mil habitantes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Empregos Formais'!$C$2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Empregos Formais'!$B$3:$B$14</c:f>
              <c:numCache>
                <c:formatCode>0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'Total Empregos Formais'!$C$3:$C$14</c:f>
              <c:numCache>
                <c:formatCode>#,##0</c:formatCode>
                <c:ptCount val="12"/>
                <c:pt idx="0">
                  <c:v>283.26204625458951</c:v>
                </c:pt>
                <c:pt idx="1">
                  <c:v>292.65172264667723</c:v>
                </c:pt>
                <c:pt idx="2">
                  <c:v>328.68066199390358</c:v>
                </c:pt>
                <c:pt idx="3">
                  <c:v>534.78837277815967</c:v>
                </c:pt>
                <c:pt idx="4">
                  <c:v>372.08954871786807</c:v>
                </c:pt>
                <c:pt idx="5">
                  <c:v>356.28447596532703</c:v>
                </c:pt>
                <c:pt idx="6">
                  <c:v>287.96861505130795</c:v>
                </c:pt>
                <c:pt idx="7">
                  <c:v>267.99747727063362</c:v>
                </c:pt>
                <c:pt idx="8">
                  <c:v>256.33438135749952</c:v>
                </c:pt>
                <c:pt idx="9">
                  <c:v>259.91212817075274</c:v>
                </c:pt>
                <c:pt idx="10">
                  <c:v>250.6491916516853</c:v>
                </c:pt>
                <c:pt idx="11">
                  <c:v>261.81446633527446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A4-4BAD-B121-9B3B8A87509C}"/>
            </c:ext>
          </c:extLst>
        </c:ser>
        <c:ser>
          <c:idx val="2"/>
          <c:order val="1"/>
          <c:tx>
            <c:strRef>
              <c:f>'Total Empregos Formais'!$D$2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'Total Empregos Formais'!$B$3:$B$14</c:f>
              <c:numCache>
                <c:formatCode>0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'Total Empregos Formais'!$D$3:$D$14</c:f>
              <c:numCache>
                <c:formatCode>#,##0</c:formatCode>
                <c:ptCount val="12"/>
                <c:pt idx="0">
                  <c:v>304.40806112969653</c:v>
                </c:pt>
                <c:pt idx="1">
                  <c:v>327.0463659476319</c:v>
                </c:pt>
                <c:pt idx="2">
                  <c:v>336.37136332449228</c:v>
                </c:pt>
                <c:pt idx="3">
                  <c:v>368.34967974379504</c:v>
                </c:pt>
                <c:pt idx="4">
                  <c:v>366.79094618794591</c:v>
                </c:pt>
                <c:pt idx="5">
                  <c:v>354.24454921858171</c:v>
                </c:pt>
                <c:pt idx="6">
                  <c:v>318.26209985336351</c:v>
                </c:pt>
                <c:pt idx="7">
                  <c:v>296.66498463232261</c:v>
                </c:pt>
                <c:pt idx="8">
                  <c:v>298.4253666954271</c:v>
                </c:pt>
                <c:pt idx="9">
                  <c:v>302.11386646046503</c:v>
                </c:pt>
                <c:pt idx="10">
                  <c:v>274.59702083258372</c:v>
                </c:pt>
                <c:pt idx="11">
                  <c:v>294.5921989804412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A4-4BAD-B121-9B3B8A875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8483720"/>
        <c:axId val="1978486792"/>
      </c:lineChart>
      <c:catAx>
        <c:axId val="1978483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86792"/>
        <c:crosses val="autoZero"/>
        <c:auto val="1"/>
        <c:lblAlgn val="ctr"/>
        <c:lblOffset val="100"/>
        <c:noMultiLvlLbl val="0"/>
      </c:catAx>
      <c:valAx>
        <c:axId val="197848679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83720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EMPREGOS NO TURISMO SOBRE TOTAL FORMAL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Empregos Formais'!$G$2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Empregos Formais'!$F$3:$F$14</c:f>
              <c:numCache>
                <c:formatCode>0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'Total Empregos Formais'!$G$3:$G$14</c:f>
              <c:numCache>
                <c:formatCode>0.00%</c:formatCode>
                <c:ptCount val="12"/>
                <c:pt idx="0">
                  <c:v>1.723792343154941E-2</c:v>
                </c:pt>
                <c:pt idx="1">
                  <c:v>1.496213287359153E-2</c:v>
                </c:pt>
                <c:pt idx="2">
                  <c:v>1.3360928453538026E-2</c:v>
                </c:pt>
                <c:pt idx="3">
                  <c:v>1.0543390105433901E-2</c:v>
                </c:pt>
                <c:pt idx="4">
                  <c:v>1.2954627105391069E-2</c:v>
                </c:pt>
                <c:pt idx="5">
                  <c:v>1.2228578720146318E-2</c:v>
                </c:pt>
                <c:pt idx="6">
                  <c:v>9.8108987393249279E-3</c:v>
                </c:pt>
                <c:pt idx="7">
                  <c:v>8.8579814379015839E-3</c:v>
                </c:pt>
                <c:pt idx="8">
                  <c:v>8.3106194217305342E-3</c:v>
                </c:pt>
                <c:pt idx="9">
                  <c:v>8.247791226188652E-3</c:v>
                </c:pt>
                <c:pt idx="10">
                  <c:v>7.9693565387285031E-3</c:v>
                </c:pt>
                <c:pt idx="11">
                  <c:v>8.3079943496061487E-3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DC-4CB9-858C-37E5FFAC65D3}"/>
            </c:ext>
          </c:extLst>
        </c:ser>
        <c:ser>
          <c:idx val="2"/>
          <c:order val="1"/>
          <c:tx>
            <c:strRef>
              <c:f>'Total Empregos Formais'!$H$2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'Total Empregos Formais'!$F$3:$F$14</c:f>
              <c:numCache>
                <c:formatCode>0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'Total Empregos Formais'!$H$3:$H$14</c:f>
              <c:numCache>
                <c:formatCode>0.00%</c:formatCode>
                <c:ptCount val="12"/>
                <c:pt idx="0">
                  <c:v>2.1538570092963363E-2</c:v>
                </c:pt>
                <c:pt idx="1">
                  <c:v>2.3193191107406756E-2</c:v>
                </c:pt>
                <c:pt idx="2">
                  <c:v>2.3046244710323627E-2</c:v>
                </c:pt>
                <c:pt idx="3">
                  <c:v>2.2564562361603566E-2</c:v>
                </c:pt>
                <c:pt idx="4">
                  <c:v>2.297102609252441E-2</c:v>
                </c:pt>
                <c:pt idx="5">
                  <c:v>2.5119245476779222E-2</c:v>
                </c:pt>
                <c:pt idx="6">
                  <c:v>2.9543380339741514E-2</c:v>
                </c:pt>
                <c:pt idx="7">
                  <c:v>3.0122158651615893E-2</c:v>
                </c:pt>
                <c:pt idx="8">
                  <c:v>2.7918323093603176E-2</c:v>
                </c:pt>
                <c:pt idx="9">
                  <c:v>2.6844838618472939E-2</c:v>
                </c:pt>
                <c:pt idx="10">
                  <c:v>2.9497993612316767E-2</c:v>
                </c:pt>
                <c:pt idx="11">
                  <c:v>2.681980633533922E-2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DC-4CB9-858C-37E5FFAC6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235015"/>
        <c:axId val="454138376"/>
      </c:lineChart>
      <c:catAx>
        <c:axId val="1376235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38376"/>
        <c:crosses val="autoZero"/>
        <c:auto val="1"/>
        <c:lblAlgn val="ctr"/>
        <c:lblOffset val="100"/>
        <c:noMultiLvlLbl val="0"/>
      </c:catAx>
      <c:valAx>
        <c:axId val="45413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3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PIB PER CAPITA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'PIB per Capita'!$C$2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'PIB per Capita'!$B$3:$B$16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'PIB per Capita'!$C$3:$C$16</c:f>
              <c:numCache>
                <c:formatCode>"R$"\ #,##0.00</c:formatCode>
                <c:ptCount val="14"/>
                <c:pt idx="0">
                  <c:v>84767.373859722167</c:v>
                </c:pt>
                <c:pt idx="1">
                  <c:v>112768.30762577483</c:v>
                </c:pt>
                <c:pt idx="2">
                  <c:v>128449.98019529165</c:v>
                </c:pt>
                <c:pt idx="3">
                  <c:v>121883.18766571737</c:v>
                </c:pt>
                <c:pt idx="4">
                  <c:v>112731.3538463958</c:v>
                </c:pt>
                <c:pt idx="5">
                  <c:v>66045.500697096446</c:v>
                </c:pt>
                <c:pt idx="6">
                  <c:v>35783.123270826931</c:v>
                </c:pt>
                <c:pt idx="7">
                  <c:v>39701.729770332422</c:v>
                </c:pt>
                <c:pt idx="8">
                  <c:v>58849.255765845373</c:v>
                </c:pt>
                <c:pt idx="9">
                  <c:v>51404.52234625748</c:v>
                </c:pt>
                <c:pt idx="10">
                  <c:v>40869.1951312237</c:v>
                </c:pt>
                <c:pt idx="11">
                  <c:v>56096.358655792988</c:v>
                </c:pt>
                <c:pt idx="12">
                  <c:v>69758.752899527768</c:v>
                </c:pt>
                <c:pt idx="13">
                  <c:v>65312.535814412026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B-49E5-B2DC-F3F1D0EB9BA8}"/>
            </c:ext>
          </c:extLst>
        </c:ser>
        <c:ser>
          <c:idx val="2"/>
          <c:order val="1"/>
          <c:tx>
            <c:strRef>
              <c:f>'PIB per Capita'!$D$2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rgbClr val="4472C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'PIB per Capita'!$B$3:$B$16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'PIB per Capita'!$D$3:$D$16</c:f>
              <c:numCache>
                <c:formatCode>"R$"\ #,##0.00</c:formatCode>
                <c:ptCount val="14"/>
                <c:pt idx="0">
                  <c:v>49944.846880420133</c:v>
                </c:pt>
                <c:pt idx="1">
                  <c:v>66116.536052210839</c:v>
                </c:pt>
                <c:pt idx="2">
                  <c:v>85839.658580045259</c:v>
                </c:pt>
                <c:pt idx="3">
                  <c:v>84397.768214571654</c:v>
                </c:pt>
                <c:pt idx="4">
                  <c:v>84197.609331728469</c:v>
                </c:pt>
                <c:pt idx="5">
                  <c:v>50925.725773639999</c:v>
                </c:pt>
                <c:pt idx="6">
                  <c:v>33765.465933952677</c:v>
                </c:pt>
                <c:pt idx="7">
                  <c:v>39454.195146566359</c:v>
                </c:pt>
                <c:pt idx="8">
                  <c:v>49307.09393874029</c:v>
                </c:pt>
                <c:pt idx="9">
                  <c:v>51795.653581254832</c:v>
                </c:pt>
                <c:pt idx="10">
                  <c:v>41953.841794696506</c:v>
                </c:pt>
                <c:pt idx="11">
                  <c:v>55610.088502742372</c:v>
                </c:pt>
                <c:pt idx="12">
                  <c:v>69559.099031783262</c:v>
                </c:pt>
                <c:pt idx="13">
                  <c:v>73706.018317373702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ECB-49E5-B2DC-F3F1D0EB9BA8}"/>
            </c:ext>
          </c:extLst>
        </c:ser>
        <c:ser>
          <c:idx val="3"/>
          <c:order val="2"/>
          <c:tx>
            <c:strRef>
              <c:f>'PIB per Capita'!$E$2</c:f>
              <c:strCache>
                <c:ptCount val="1"/>
                <c:pt idx="0">
                  <c:v>Macaé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'PIB per Capita'!$B$3:$B$16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'PIB per Capita'!$E$3:$E$16</c:f>
              <c:numCache>
                <c:formatCode>"R$"\ #,##0.00</c:formatCode>
                <c:ptCount val="14"/>
                <c:pt idx="0">
                  <c:v>65851.61661700398</c:v>
                </c:pt>
                <c:pt idx="1">
                  <c:v>68596.714718306874</c:v>
                </c:pt>
                <c:pt idx="2">
                  <c:v>78759.334538480602</c:v>
                </c:pt>
                <c:pt idx="3">
                  <c:v>85131.754686514556</c:v>
                </c:pt>
                <c:pt idx="4">
                  <c:v>93460.031416353959</c:v>
                </c:pt>
                <c:pt idx="5">
                  <c:v>83782.961088963842</c:v>
                </c:pt>
                <c:pt idx="6">
                  <c:v>73089.777666853857</c:v>
                </c:pt>
                <c:pt idx="7">
                  <c:v>62509.328585713243</c:v>
                </c:pt>
                <c:pt idx="8">
                  <c:v>61340.462820558678</c:v>
                </c:pt>
                <c:pt idx="9">
                  <c:v>58887.72390882222</c:v>
                </c:pt>
                <c:pt idx="10">
                  <c:v>58773.969483469256</c:v>
                </c:pt>
                <c:pt idx="11">
                  <c:v>66683.150719932659</c:v>
                </c:pt>
                <c:pt idx="12">
                  <c:v>79605.983984804639</c:v>
                </c:pt>
                <c:pt idx="13">
                  <c:v>88725.193833768484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CB-49E5-B2DC-F3F1D0EB9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9159944"/>
        <c:axId val="549161992"/>
      </c:lineChart>
      <c:catAx>
        <c:axId val="549159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61992"/>
        <c:crosses val="autoZero"/>
        <c:auto val="1"/>
        <c:lblAlgn val="ctr"/>
        <c:lblOffset val="100"/>
        <c:noMultiLvlLbl val="0"/>
      </c:catAx>
      <c:valAx>
        <c:axId val="549161992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159944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Cabo Frio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Receitas</c:v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Receitas_Despesas!$B$4:$B$15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Receitas_Despesas!$C$4:$C$15</c:f>
              <c:numCache>
                <c:formatCode>"R$"\ #,##0.00</c:formatCode>
                <c:ptCount val="12"/>
                <c:pt idx="0">
                  <c:v>859248280.70000005</c:v>
                </c:pt>
                <c:pt idx="1">
                  <c:v>929708769.14999998</c:v>
                </c:pt>
                <c:pt idx="2">
                  <c:v>761164011.94000006</c:v>
                </c:pt>
                <c:pt idx="3">
                  <c:v>627048480.11000001</c:v>
                </c:pt>
                <c:pt idx="4">
                  <c:v>802978089.15999997</c:v>
                </c:pt>
                <c:pt idx="5">
                  <c:v>905689437.22000003</c:v>
                </c:pt>
                <c:pt idx="6">
                  <c:v>909144623.19000006</c:v>
                </c:pt>
                <c:pt idx="7">
                  <c:v>909962278.02999997</c:v>
                </c:pt>
                <c:pt idx="8">
                  <c:v>1192463575.71</c:v>
                </c:pt>
                <c:pt idx="9">
                  <c:v>1319466671.5</c:v>
                </c:pt>
                <c:pt idx="10">
                  <c:v>1511318949.52</c:v>
                </c:pt>
                <c:pt idx="11">
                  <c:v>1529765894.5999999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E-41BF-96F7-FE4CCFE50954}"/>
            </c:ext>
          </c:extLst>
        </c:ser>
        <c:ser>
          <c:idx val="1"/>
          <c:order val="1"/>
          <c:tx>
            <c:v>Despesas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Receitas_Despesas!$B$4:$B$15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Receitas_Despesas!H4:H15</c:f>
              <c:numCache>
                <c:formatCode>"R$"\ #,##0.00</c:formatCode>
                <c:ptCount val="12"/>
                <c:pt idx="0">
                  <c:v>755757311.89999998</c:v>
                </c:pt>
                <c:pt idx="1">
                  <c:v>894246645.79999995</c:v>
                </c:pt>
                <c:pt idx="2">
                  <c:v>663370791.60000002</c:v>
                </c:pt>
                <c:pt idx="3">
                  <c:v>319906483.80000001</c:v>
                </c:pt>
                <c:pt idx="4">
                  <c:v>672074961.89999998</c:v>
                </c:pt>
                <c:pt idx="5">
                  <c:v>737223978.5</c:v>
                </c:pt>
                <c:pt idx="6">
                  <c:v>800004152.70000005</c:v>
                </c:pt>
                <c:pt idx="7">
                  <c:v>817289082</c:v>
                </c:pt>
                <c:pt idx="8">
                  <c:v>1009223617</c:v>
                </c:pt>
                <c:pt idx="9">
                  <c:v>1290553735.54</c:v>
                </c:pt>
                <c:pt idx="10">
                  <c:v>1398624538.75</c:v>
                </c:pt>
                <c:pt idx="11">
                  <c:v>1581967896.76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BE-41BF-96F7-FE4CCFE50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566407"/>
        <c:axId val="270189063"/>
      </c:lineChart>
      <c:catAx>
        <c:axId val="230566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89063"/>
        <c:crosses val="autoZero"/>
        <c:auto val="1"/>
        <c:lblAlgn val="ctr"/>
        <c:lblOffset val="100"/>
        <c:noMultiLvlLbl val="0"/>
      </c:catAx>
      <c:valAx>
        <c:axId val="270189063"/>
        <c:scaling>
          <c:orientation val="minMax"/>
          <c:max val="1700000000"/>
          <c:min val="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6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Macaé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{"Receitas"}</c:f>
              <c:strCache>
                <c:ptCount val="1"/>
                <c:pt idx="0">
                  <c:v>Receitas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Receitas_Despesas!$B$4:$B$15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Receitas_Despesas!D4:D15</c:f>
              <c:numCache>
                <c:formatCode>"R$"\ #,##0.00</c:formatCode>
                <c:ptCount val="12"/>
                <c:pt idx="0">
                  <c:v>2167371699.8000002</c:v>
                </c:pt>
                <c:pt idx="1">
                  <c:v>2195868753.6599998</c:v>
                </c:pt>
                <c:pt idx="2">
                  <c:v>2224365807.52</c:v>
                </c:pt>
                <c:pt idx="3">
                  <c:v>2074757683.1400001</c:v>
                </c:pt>
                <c:pt idx="4">
                  <c:v>1978194269.46</c:v>
                </c:pt>
                <c:pt idx="5">
                  <c:v>2576830299.9299998</c:v>
                </c:pt>
                <c:pt idx="6">
                  <c:v>2227926721.48</c:v>
                </c:pt>
                <c:pt idx="7">
                  <c:v>2521222323</c:v>
                </c:pt>
                <c:pt idx="8">
                  <c:v>3086321621.71</c:v>
                </c:pt>
                <c:pt idx="9">
                  <c:v>3949268272.25</c:v>
                </c:pt>
                <c:pt idx="10">
                  <c:v>4245194439.1199999</c:v>
                </c:pt>
                <c:pt idx="11">
                  <c:v>4707674847.4300003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93-40BE-85EF-E257FEE84A08}"/>
            </c:ext>
          </c:extLst>
        </c:ser>
        <c:ser>
          <c:idx val="1"/>
          <c:order val="1"/>
          <c:tx>
            <c:strRef>
              <c:f>{"Despesas"}</c:f>
              <c:strCache>
                <c:ptCount val="1"/>
                <c:pt idx="0">
                  <c:v>Despesas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Receitas_Despesas!$B$4:$B$15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Receitas_Despesas!I4:I15</c:f>
              <c:numCache>
                <c:formatCode>"R$"\ #,##0.00</c:formatCode>
                <c:ptCount val="12"/>
                <c:pt idx="0">
                  <c:v>1709598814</c:v>
                </c:pt>
                <c:pt idx="1">
                  <c:v>1845391581.5</c:v>
                </c:pt>
                <c:pt idx="2">
                  <c:v>1981184349</c:v>
                </c:pt>
                <c:pt idx="3">
                  <c:v>1766857059</c:v>
                </c:pt>
                <c:pt idx="4">
                  <c:v>1798305022</c:v>
                </c:pt>
                <c:pt idx="5">
                  <c:v>1837394693</c:v>
                </c:pt>
                <c:pt idx="6">
                  <c:v>2029560307</c:v>
                </c:pt>
                <c:pt idx="7">
                  <c:v>2100571932</c:v>
                </c:pt>
                <c:pt idx="8">
                  <c:v>2079048258</c:v>
                </c:pt>
                <c:pt idx="9">
                  <c:v>2535043629.5</c:v>
                </c:pt>
                <c:pt idx="10">
                  <c:v>3019008538.7199998</c:v>
                </c:pt>
                <c:pt idx="11">
                  <c:v>3580591394.1100001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93-40BE-85EF-E257FEE84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566407"/>
        <c:axId val="270189063"/>
      </c:lineChart>
      <c:catAx>
        <c:axId val="230566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89063"/>
        <c:crosses val="autoZero"/>
        <c:auto val="1"/>
        <c:lblAlgn val="ctr"/>
        <c:lblOffset val="100"/>
        <c:noMultiLvlLbl val="0"/>
      </c:catAx>
      <c:valAx>
        <c:axId val="270189063"/>
        <c:scaling>
          <c:orientation val="minMax"/>
          <c:max val="5000000000"/>
          <c:min val="14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6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Rio das Ostras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{"Receitas"}</c:f>
              <c:strCache>
                <c:ptCount val="1"/>
                <c:pt idx="0">
                  <c:v>Receitas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Receitas_Despesas!$B$4:$B$15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Receitas_Despesas!E4:E15</c:f>
              <c:numCache>
                <c:formatCode>"R$"\ #,##0.00</c:formatCode>
                <c:ptCount val="12"/>
                <c:pt idx="0">
                  <c:v>718715500.60000002</c:v>
                </c:pt>
                <c:pt idx="1">
                  <c:v>765084937.21000004</c:v>
                </c:pt>
                <c:pt idx="2">
                  <c:v>622598693.71000004</c:v>
                </c:pt>
                <c:pt idx="3">
                  <c:v>554459388.03999996</c:v>
                </c:pt>
                <c:pt idx="4">
                  <c:v>574125894.14999998</c:v>
                </c:pt>
                <c:pt idx="5">
                  <c:v>682470464.48000002</c:v>
                </c:pt>
                <c:pt idx="6">
                  <c:v>669443417.80999994</c:v>
                </c:pt>
                <c:pt idx="7">
                  <c:v>663019789.21000004</c:v>
                </c:pt>
                <c:pt idx="8">
                  <c:v>866190625.67999995</c:v>
                </c:pt>
                <c:pt idx="9">
                  <c:v>1095412973.5699999</c:v>
                </c:pt>
                <c:pt idx="10">
                  <c:v>1114526723.48</c:v>
                </c:pt>
                <c:pt idx="11">
                  <c:v>1142488573.97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A0-47C9-B291-1D8D6F367E53}"/>
            </c:ext>
          </c:extLst>
        </c:ser>
        <c:ser>
          <c:idx val="1"/>
          <c:order val="1"/>
          <c:tx>
            <c:strRef>
              <c:f>{"Despesas"}</c:f>
              <c:strCache>
                <c:ptCount val="1"/>
                <c:pt idx="0">
                  <c:v>Despesas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Receitas_Despesas!$B$4:$B$15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Receitas_Despesas!J4:J15</c:f>
              <c:numCache>
                <c:formatCode>"R$"\ #,##0.00</c:formatCode>
                <c:ptCount val="12"/>
                <c:pt idx="0">
                  <c:v>627278256.79999995</c:v>
                </c:pt>
                <c:pt idx="1">
                  <c:v>701701563.60000002</c:v>
                </c:pt>
                <c:pt idx="2">
                  <c:v>524425153.19999999</c:v>
                </c:pt>
                <c:pt idx="3">
                  <c:v>461767373.30000001</c:v>
                </c:pt>
                <c:pt idx="4">
                  <c:v>407060811</c:v>
                </c:pt>
                <c:pt idx="5">
                  <c:v>529408646</c:v>
                </c:pt>
                <c:pt idx="6">
                  <c:v>579841123.70000005</c:v>
                </c:pt>
                <c:pt idx="7">
                  <c:v>590808703.5</c:v>
                </c:pt>
                <c:pt idx="8">
                  <c:v>645428338.29999995</c:v>
                </c:pt>
                <c:pt idx="9">
                  <c:v>841224847.15999997</c:v>
                </c:pt>
                <c:pt idx="10">
                  <c:v>1020633242.86</c:v>
                </c:pt>
                <c:pt idx="11">
                  <c:v>1066314189.45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A0-47C9-B291-1D8D6F367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0566407"/>
        <c:axId val="270189063"/>
      </c:lineChart>
      <c:catAx>
        <c:axId val="230566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189063"/>
        <c:crosses val="autoZero"/>
        <c:auto val="1"/>
        <c:lblAlgn val="ctr"/>
        <c:lblOffset val="100"/>
        <c:noMultiLvlLbl val="0"/>
      </c:catAx>
      <c:valAx>
        <c:axId val="270189063"/>
        <c:scaling>
          <c:orientation val="minMax"/>
          <c:max val="1700000000"/>
          <c:min val="2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56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Líquido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Receitas_Despesas!$W$3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Receitas_Despesas!$V$4:$V$15,Receitas_Despesas!V4:V15</c:f>
              <c:strCache>
                <c:ptCount val="2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Receitas_Despesas!$W$4:$W$15</c:f>
              <c:numCache>
                <c:formatCode>"R$"#,##0.00_);[Red]\("R$"#,##0.00\)</c:formatCode>
                <c:ptCount val="12"/>
                <c:pt idx="0">
                  <c:v>103490968.80000007</c:v>
                </c:pt>
                <c:pt idx="1">
                  <c:v>35462123.350000024</c:v>
                </c:pt>
                <c:pt idx="2">
                  <c:v>97793220.340000033</c:v>
                </c:pt>
                <c:pt idx="3">
                  <c:v>307141996.31</c:v>
                </c:pt>
                <c:pt idx="4">
                  <c:v>130903127.25999999</c:v>
                </c:pt>
                <c:pt idx="5">
                  <c:v>168465458.72000003</c:v>
                </c:pt>
                <c:pt idx="6">
                  <c:v>109140470.49000001</c:v>
                </c:pt>
                <c:pt idx="7">
                  <c:v>92673196.029999971</c:v>
                </c:pt>
                <c:pt idx="8">
                  <c:v>183239958.71000004</c:v>
                </c:pt>
                <c:pt idx="9">
                  <c:v>28912935.960000038</c:v>
                </c:pt>
                <c:pt idx="10">
                  <c:v>112694410.76999998</c:v>
                </c:pt>
                <c:pt idx="11">
                  <c:v>-52202002.160000086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B-46DA-81D6-C4F24C78E7E8}"/>
            </c:ext>
          </c:extLst>
        </c:ser>
        <c:ser>
          <c:idx val="1"/>
          <c:order val="1"/>
          <c:tx>
            <c:strRef>
              <c:f>Receitas_Despesas!$X$3</c:f>
              <c:strCache>
                <c:ptCount val="1"/>
                <c:pt idx="0">
                  <c:v>Macaé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Receitas_Despesas!$V$4:$V$15,Receitas_Despesas!V4:V15</c:f>
              <c:strCache>
                <c:ptCount val="2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Receitas_Despesas!$X$4:$X$15</c:f>
              <c:numCache>
                <c:formatCode>"R$"#,##0.00_);[Red]\("R$"#,##0.00\)</c:formatCode>
                <c:ptCount val="12"/>
                <c:pt idx="0">
                  <c:v>457772885.80000019</c:v>
                </c:pt>
                <c:pt idx="1">
                  <c:v>350477172.15999985</c:v>
                </c:pt>
                <c:pt idx="2">
                  <c:v>243181458.51999998</c:v>
                </c:pt>
                <c:pt idx="3">
                  <c:v>307900624.1400001</c:v>
                </c:pt>
                <c:pt idx="4">
                  <c:v>179889247.46000004</c:v>
                </c:pt>
                <c:pt idx="5">
                  <c:v>739435606.92999983</c:v>
                </c:pt>
                <c:pt idx="6">
                  <c:v>198366414.48000002</c:v>
                </c:pt>
                <c:pt idx="7">
                  <c:v>420650391</c:v>
                </c:pt>
                <c:pt idx="8">
                  <c:v>1007273363.71</c:v>
                </c:pt>
                <c:pt idx="9">
                  <c:v>1414224642.75</c:v>
                </c:pt>
                <c:pt idx="10">
                  <c:v>1226185900.4000001</c:v>
                </c:pt>
                <c:pt idx="11">
                  <c:v>1127083453.3200002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B-46DA-81D6-C4F24C78E7E8}"/>
            </c:ext>
          </c:extLst>
        </c:ser>
        <c:ser>
          <c:idx val="2"/>
          <c:order val="2"/>
          <c:tx>
            <c:strRef>
              <c:f>Receitas_Despesas!$Y$3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Receitas_Despesas!$V$4:$V$15,Receitas_Despesas!V4:V15</c:f>
              <c:strCache>
                <c:ptCount val="2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</c:strCache>
            </c:strRef>
          </c:cat>
          <c:val>
            <c:numRef>
              <c:f>Receitas_Despesas!$Y$4:$Y$15</c:f>
              <c:numCache>
                <c:formatCode>"R$"#,##0.00_);[Red]\("R$"#,##0.00\)</c:formatCode>
                <c:ptCount val="12"/>
                <c:pt idx="0">
                  <c:v>91437243.800000072</c:v>
                </c:pt>
                <c:pt idx="1">
                  <c:v>63383373.610000014</c:v>
                </c:pt>
                <c:pt idx="2">
                  <c:v>98173540.51000005</c:v>
                </c:pt>
                <c:pt idx="3">
                  <c:v>92692014.73999995</c:v>
                </c:pt>
                <c:pt idx="4">
                  <c:v>167065083.14999998</c:v>
                </c:pt>
                <c:pt idx="5">
                  <c:v>153061818.48000002</c:v>
                </c:pt>
                <c:pt idx="6">
                  <c:v>89602294.109999895</c:v>
                </c:pt>
                <c:pt idx="7">
                  <c:v>72211085.710000038</c:v>
                </c:pt>
                <c:pt idx="8">
                  <c:v>220762287.38</c:v>
                </c:pt>
                <c:pt idx="9">
                  <c:v>254188126.40999997</c:v>
                </c:pt>
                <c:pt idx="10">
                  <c:v>93893480.620000005</c:v>
                </c:pt>
                <c:pt idx="11">
                  <c:v>76174384.519999981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5B-46DA-81D6-C4F24C78E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6775"/>
        <c:axId val="211938823"/>
      </c:lineChart>
      <c:catAx>
        <c:axId val="211936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8823"/>
        <c:crosses val="autoZero"/>
        <c:auto val="1"/>
        <c:lblAlgn val="ctr"/>
        <c:lblOffset val="100"/>
        <c:noMultiLvlLbl val="0"/>
      </c:catAx>
      <c:valAx>
        <c:axId val="211938823"/>
        <c:scaling>
          <c:orientation val="minMax"/>
          <c:max val="1500000000"/>
          <c:min val="-1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_);[Red]\(&quot;R$&quot;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36775"/>
        <c:crosses val="autoZero"/>
        <c:crossBetween val="between"/>
        <c:majorUnit val="2000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habitante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Receitas_Despesas!$M$3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Receitas_Despesas!$L$4:$L$15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Receitas_Despesas!$M$4:$M$15</c:f>
              <c:numCache>
                <c:formatCode>"R$"\ #,##0.00</c:formatCode>
                <c:ptCount val="12"/>
                <c:pt idx="0">
                  <c:v>4299.6811484187356</c:v>
                </c:pt>
                <c:pt idx="1">
                  <c:v>4548.9669590171152</c:v>
                </c:pt>
                <c:pt idx="2">
                  <c:v>3643.4148430701484</c:v>
                </c:pt>
                <c:pt idx="3">
                  <c:v>2937.6419170028062</c:v>
                </c:pt>
                <c:pt idx="4">
                  <c:v>3683.5547004908481</c:v>
                </c:pt>
                <c:pt idx="5">
                  <c:v>4070.0021445391144</c:v>
                </c:pt>
                <c:pt idx="6">
                  <c:v>4087.2188997734183</c:v>
                </c:pt>
                <c:pt idx="7">
                  <c:v>4092.5875131777784</c:v>
                </c:pt>
                <c:pt idx="8">
                  <c:v>5365.3429906907895</c:v>
                </c:pt>
                <c:pt idx="9">
                  <c:v>5939.2362813455111</c:v>
                </c:pt>
                <c:pt idx="10">
                  <c:v>6566.2699184929006</c:v>
                </c:pt>
                <c:pt idx="11">
                  <c:v>6423.1078096789633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4-43D6-9976-2B85F7232528}"/>
            </c:ext>
          </c:extLst>
        </c:ser>
        <c:ser>
          <c:idx val="1"/>
          <c:order val="1"/>
          <c:tx>
            <c:strRef>
              <c:f>Receitas_Despesas!$N$3</c:f>
              <c:strCache>
                <c:ptCount val="1"/>
                <c:pt idx="0">
                  <c:v>Macaé</c:v>
                </c:pt>
              </c:strCache>
            </c:strRef>
          </c:tx>
          <c:spPr>
            <a:ln w="28575" cap="rnd">
              <a:solidFill>
                <a:srgbClr val="525252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Receitas_Despesas!$L$4:$L$15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Receitas_Despesas!$N$4:$N$15</c:f>
              <c:numCache>
                <c:formatCode>"R$"\ #,##0.00</c:formatCode>
                <c:ptCount val="12"/>
                <c:pt idx="0">
                  <c:v>9694.5063439595306</c:v>
                </c:pt>
                <c:pt idx="1">
                  <c:v>9581.4152790819444</c:v>
                </c:pt>
                <c:pt idx="2">
                  <c:v>9473.7717107908284</c:v>
                </c:pt>
                <c:pt idx="3">
                  <c:v>8630.26011580458</c:v>
                </c:pt>
                <c:pt idx="4">
                  <c:v>8040.8517647489207</c:v>
                </c:pt>
                <c:pt idx="5">
                  <c:v>10240.512098787509</c:v>
                </c:pt>
                <c:pt idx="6">
                  <c:v>8687.0256543947344</c:v>
                </c:pt>
                <c:pt idx="7">
                  <c:v>9648.72818320634</c:v>
                </c:pt>
                <c:pt idx="8">
                  <c:v>11596.783680937566</c:v>
                </c:pt>
                <c:pt idx="9">
                  <c:v>16028.459936645413</c:v>
                </c:pt>
                <c:pt idx="10">
                  <c:v>16818.845908077034</c:v>
                </c:pt>
                <c:pt idx="11">
                  <c:v>18216.934434744588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54-43D6-9976-2B85F7232528}"/>
            </c:ext>
          </c:extLst>
        </c:ser>
        <c:ser>
          <c:idx val="2"/>
          <c:order val="2"/>
          <c:tx>
            <c:strRef>
              <c:f>Receitas_Despesas!$O$3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Receitas_Despesas!$L$4:$L$15</c:f>
              <c:strCach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strCache>
            </c:strRef>
          </c:cat>
          <c:val>
            <c:numRef>
              <c:f>Receitas_Despesas!$O$4:$O$15</c:f>
              <c:numCache>
                <c:formatCode>"R$"\ #,##0.00</c:formatCode>
                <c:ptCount val="12"/>
                <c:pt idx="0">
                  <c:v>5881.6614340894957</c:v>
                </c:pt>
                <c:pt idx="1">
                  <c:v>6016.190304471932</c:v>
                </c:pt>
                <c:pt idx="2">
                  <c:v>4717.5145004394744</c:v>
                </c:pt>
                <c:pt idx="3">
                  <c:v>4058.2274826167782</c:v>
                </c:pt>
                <c:pt idx="4">
                  <c:v>4068.4389134547928</c:v>
                </c:pt>
                <c:pt idx="5">
                  <c:v>4674.8074476844149</c:v>
                </c:pt>
                <c:pt idx="6">
                  <c:v>4442.992273451292</c:v>
                </c:pt>
                <c:pt idx="7">
                  <c:v>4272.2274149607265</c:v>
                </c:pt>
                <c:pt idx="8">
                  <c:v>5429.6750163293191</c:v>
                </c:pt>
                <c:pt idx="9">
                  <c:v>6999.8464676562862</c:v>
                </c:pt>
                <c:pt idx="10">
                  <c:v>6867.2893402754244</c:v>
                </c:pt>
                <c:pt idx="11">
                  <c:v>6796.5221326123301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54-43D6-9976-2B85F7232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2641288"/>
        <c:axId val="372700680"/>
      </c:lineChart>
      <c:catAx>
        <c:axId val="37264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700680"/>
        <c:crosses val="autoZero"/>
        <c:auto val="1"/>
        <c:lblAlgn val="ctr"/>
        <c:lblOffset val="100"/>
        <c:noMultiLvlLbl val="0"/>
      </c:catAx>
      <c:valAx>
        <c:axId val="372700680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641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IDHM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IDHM!$B$4</c:f>
              <c:strCache>
                <c:ptCount val="1"/>
                <c:pt idx="0">
                  <c:v>Rio das Ostras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IDHM!$C$3:$E$3</c:f>
              <c:strCach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strCache>
            </c:strRef>
          </c:cat>
          <c:val>
            <c:numRef>
              <c:f>IDHM!$C$4:$E$4</c:f>
              <c:numCache>
                <c:formatCode>0.000</c:formatCode>
                <c:ptCount val="3"/>
                <c:pt idx="0">
                  <c:v>0.65900000000000003</c:v>
                </c:pt>
                <c:pt idx="1">
                  <c:v>0.77300000000000002</c:v>
                </c:pt>
                <c:pt idx="2">
                  <c:v>0.79700000000000004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6E-42D8-B761-7953CA5FAD88}"/>
            </c:ext>
          </c:extLst>
        </c:ser>
        <c:ser>
          <c:idx val="1"/>
          <c:order val="1"/>
          <c:tx>
            <c:strRef>
              <c:f>IDHM!$B$5</c:f>
              <c:strCache>
                <c:ptCount val="1"/>
                <c:pt idx="0">
                  <c:v>Cabo Frio</c:v>
                </c:pt>
              </c:strCache>
            </c:strRef>
          </c:tx>
          <c:spPr>
            <a:ln w="28575" cap="rnd">
              <a:solidFill>
                <a:srgbClr val="1F4E78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IDHM!$C$3:$E$3</c:f>
              <c:strCach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strCache>
            </c:strRef>
          </c:cat>
          <c:val>
            <c:numRef>
              <c:f>IDHM!$C$5:$E$5</c:f>
              <c:numCache>
                <c:formatCode>0.000</c:formatCode>
                <c:ptCount val="3"/>
                <c:pt idx="0">
                  <c:v>0.72899999999999998</c:v>
                </c:pt>
                <c:pt idx="1">
                  <c:v>0.75900000000000001</c:v>
                </c:pt>
                <c:pt idx="2">
                  <c:v>0.77300000000000002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6E-42D8-B761-7953CA5FAD88}"/>
            </c:ext>
          </c:extLst>
        </c:ser>
        <c:ser>
          <c:idx val="2"/>
          <c:order val="2"/>
          <c:tx>
            <c:strRef>
              <c:f>IDHM!$B$6</c:f>
              <c:strCache>
                <c:ptCount val="1"/>
                <c:pt idx="0">
                  <c:v>Macaé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IDHM!$C$3:$E$3</c:f>
              <c:strCache>
                <c:ptCount val="3"/>
                <c:pt idx="0">
                  <c:v>2000</c:v>
                </c:pt>
                <c:pt idx="1">
                  <c:v>2010</c:v>
                </c:pt>
                <c:pt idx="2">
                  <c:v>2021</c:v>
                </c:pt>
              </c:strCache>
            </c:strRef>
          </c:cat>
          <c:val>
            <c:numRef>
              <c:f>IDHM!$C$6:$E$6</c:f>
              <c:numCache>
                <c:formatCode>0.000</c:formatCode>
                <c:ptCount val="3"/>
                <c:pt idx="0">
                  <c:v>0.73599999999999999</c:v>
                </c:pt>
                <c:pt idx="1">
                  <c:v>0.76400000000000001</c:v>
                </c:pt>
                <c:pt idx="2">
                  <c:v>0.77800000000000002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16E-42D8-B761-7953CA5FA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121031"/>
        <c:axId val="396658695"/>
      </c:lineChart>
      <c:catAx>
        <c:axId val="10912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658695"/>
        <c:crosses val="autoZero"/>
        <c:auto val="1"/>
        <c:lblAlgn val="ctr"/>
        <c:lblOffset val="100"/>
        <c:noMultiLvlLbl val="0"/>
      </c:catAx>
      <c:valAx>
        <c:axId val="396658695"/>
        <c:scaling>
          <c:orientation val="minMax"/>
          <c:max val="0.8"/>
          <c:min val="0.6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21031"/>
        <c:crosses val="autoZero"/>
        <c:crossBetween val="between"/>
        <c:minorUnit val="4.0000000000000001E-3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PIB per capita x Empregos no turismo</a:t>
            </a:r>
          </a:p>
        </c:rich>
      </c:tx>
      <c:layout>
        <c:manualLayout>
          <c:xMode val="edge"/>
          <c:yMode val="edge"/>
          <c:x val="0.20842929137586483"/>
          <c:y val="1.4895005615124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ANALYZE!$G$21</c:f>
              <c:strCache>
                <c:ptCount val="1"/>
                <c:pt idx="0">
                  <c:v>PIB per capita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ANALYZE!$F$22:$F$33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ANALYZE!$G$22:$G$33</c:f>
              <c:numCache>
                <c:formatCode>"R$"\ #,##0.00</c:formatCode>
                <c:ptCount val="12"/>
                <c:pt idx="0">
                  <c:v>84767.373859722167</c:v>
                </c:pt>
                <c:pt idx="1">
                  <c:v>112768.30762577483</c:v>
                </c:pt>
                <c:pt idx="2">
                  <c:v>128449.98019529165</c:v>
                </c:pt>
                <c:pt idx="3">
                  <c:v>121883.18766571737</c:v>
                </c:pt>
                <c:pt idx="4">
                  <c:v>112731.3538463958</c:v>
                </c:pt>
                <c:pt idx="5">
                  <c:v>66045.500697096446</c:v>
                </c:pt>
                <c:pt idx="6">
                  <c:v>35783.123270826931</c:v>
                </c:pt>
                <c:pt idx="7">
                  <c:v>39701.729770332422</c:v>
                </c:pt>
                <c:pt idx="8">
                  <c:v>58849.255765845373</c:v>
                </c:pt>
                <c:pt idx="9">
                  <c:v>51404.52234625748</c:v>
                </c:pt>
                <c:pt idx="10">
                  <c:v>40869.1951312237</c:v>
                </c:pt>
                <c:pt idx="11">
                  <c:v>56096.358655792988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EC-4E38-9C9C-05FA2AF07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0452743"/>
        <c:axId val="634794503"/>
      </c:lineChart>
      <c:lineChart>
        <c:grouping val="standard"/>
        <c:varyColors val="0"/>
        <c:ser>
          <c:idx val="2"/>
          <c:order val="1"/>
          <c:tx>
            <c:strRef>
              <c:f>ANALYZE!$H$21</c:f>
              <c:strCache>
                <c:ptCount val="1"/>
                <c:pt idx="0">
                  <c:v>Empregos formais no turismo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ANALYZE!$F$22:$F$33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ANALYZE!$H$22:$H$33</c:f>
              <c:numCache>
                <c:formatCode>#,##0</c:formatCode>
                <c:ptCount val="12"/>
                <c:pt idx="0">
                  <c:v>516.00000000000011</c:v>
                </c:pt>
                <c:pt idx="1">
                  <c:v>486.00000000000006</c:v>
                </c:pt>
                <c:pt idx="2">
                  <c:v>510</c:v>
                </c:pt>
                <c:pt idx="3">
                  <c:v>689</c:v>
                </c:pt>
                <c:pt idx="4">
                  <c:v>613</c:v>
                </c:pt>
                <c:pt idx="5">
                  <c:v>575</c:v>
                </c:pt>
                <c:pt idx="6">
                  <c:v>385.99999999999994</c:v>
                </c:pt>
                <c:pt idx="7">
                  <c:v>335.00000000000006</c:v>
                </c:pt>
                <c:pt idx="8">
                  <c:v>311</c:v>
                </c:pt>
                <c:pt idx="9">
                  <c:v>323</c:v>
                </c:pt>
                <c:pt idx="10">
                  <c:v>310.00000000000006</c:v>
                </c:pt>
                <c:pt idx="11">
                  <c:v>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EC-4E38-9C9C-05FA2AF07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7797127"/>
        <c:axId val="18307591"/>
      </c:lineChart>
      <c:catAx>
        <c:axId val="950452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794503"/>
        <c:crosses val="autoZero"/>
        <c:auto val="1"/>
        <c:lblAlgn val="ctr"/>
        <c:lblOffset val="100"/>
        <c:noMultiLvlLbl val="0"/>
      </c:catAx>
      <c:valAx>
        <c:axId val="634794503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52743"/>
        <c:crosses val="autoZero"/>
        <c:crossBetween val="between"/>
      </c:valAx>
      <c:valAx>
        <c:axId val="18307591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797127"/>
        <c:crosses val="max"/>
        <c:crossBetween val="between"/>
      </c:valAx>
      <c:catAx>
        <c:axId val="6177971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075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Correlação PIB per capita x Empregos no Turismo</c:v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33C0C"/>
              </a:solidFill>
              <a:ln w="9525">
                <a:solidFill>
                  <a:srgbClr val="833C0C"/>
                </a:solidFill>
                <a:prstDash val="solid"/>
              </a:ln>
              <a:effectLst/>
            </c:spPr>
          </c:marker>
          <c:trendline>
            <c:name>Regressão Linear</c:name>
            <c:spPr>
              <a:ln w="19050" cap="rnd">
                <a:solidFill>
                  <a:srgbClr val="4472C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ANALYZE!$G$22:$G$33</c:f>
              <c:numCache>
                <c:formatCode>"R$"\ #,##0.00</c:formatCode>
                <c:ptCount val="12"/>
                <c:pt idx="0">
                  <c:v>84767.373859722167</c:v>
                </c:pt>
                <c:pt idx="1">
                  <c:v>112768.30762577483</c:v>
                </c:pt>
                <c:pt idx="2">
                  <c:v>128449.98019529165</c:v>
                </c:pt>
                <c:pt idx="3">
                  <c:v>121883.18766571737</c:v>
                </c:pt>
                <c:pt idx="4">
                  <c:v>112731.3538463958</c:v>
                </c:pt>
                <c:pt idx="5">
                  <c:v>66045.500697096446</c:v>
                </c:pt>
                <c:pt idx="6">
                  <c:v>35783.123270826931</c:v>
                </c:pt>
                <c:pt idx="7">
                  <c:v>39701.729770332422</c:v>
                </c:pt>
                <c:pt idx="8">
                  <c:v>58849.255765845373</c:v>
                </c:pt>
                <c:pt idx="9">
                  <c:v>51404.52234625748</c:v>
                </c:pt>
                <c:pt idx="10">
                  <c:v>40869.1951312237</c:v>
                </c:pt>
                <c:pt idx="11">
                  <c:v>56096.358655792988</c:v>
                </c:pt>
              </c:numCache>
            </c:numRef>
          </c:xVal>
          <c:yVal>
            <c:numRef>
              <c:f>ANALYZE!$H$22:$H$33</c:f>
              <c:numCache>
                <c:formatCode>#,##0</c:formatCode>
                <c:ptCount val="12"/>
                <c:pt idx="0">
                  <c:v>516.00000000000011</c:v>
                </c:pt>
                <c:pt idx="1">
                  <c:v>486.00000000000006</c:v>
                </c:pt>
                <c:pt idx="2">
                  <c:v>510</c:v>
                </c:pt>
                <c:pt idx="3">
                  <c:v>689</c:v>
                </c:pt>
                <c:pt idx="4">
                  <c:v>613</c:v>
                </c:pt>
                <c:pt idx="5">
                  <c:v>575</c:v>
                </c:pt>
                <c:pt idx="6">
                  <c:v>385.99999999999994</c:v>
                </c:pt>
                <c:pt idx="7">
                  <c:v>335.00000000000006</c:v>
                </c:pt>
                <c:pt idx="8">
                  <c:v>311</c:v>
                </c:pt>
                <c:pt idx="9">
                  <c:v>323</c:v>
                </c:pt>
                <c:pt idx="10">
                  <c:v>310.00000000000006</c:v>
                </c:pt>
                <c:pt idx="11">
                  <c:v>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59-4BDF-9341-45CAF1FB7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00680"/>
        <c:axId val="2123103752"/>
      </c:scatterChart>
      <c:valAx>
        <c:axId val="2123100680"/>
        <c:scaling>
          <c:orientation val="minMax"/>
          <c:max val="135000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03752"/>
        <c:crosses val="autoZero"/>
        <c:crossBetween val="midCat"/>
      </c:valAx>
      <c:valAx>
        <c:axId val="2123103752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00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Interesse digital x Empregos no turismo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ANALYZE!$O$21</c:f>
              <c:strCache>
                <c:ptCount val="1"/>
                <c:pt idx="0">
                  <c:v>interesse digital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ANALYZE!$N$22:$N$33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ANALYZE!$O$22:$O$33</c:f>
              <c:numCache>
                <c:formatCode>General</c:formatCode>
                <c:ptCount val="12"/>
                <c:pt idx="0">
                  <c:v>246</c:v>
                </c:pt>
                <c:pt idx="1">
                  <c:v>240</c:v>
                </c:pt>
                <c:pt idx="2">
                  <c:v>248</c:v>
                </c:pt>
                <c:pt idx="3">
                  <c:v>216</c:v>
                </c:pt>
                <c:pt idx="4">
                  <c:v>238</c:v>
                </c:pt>
                <c:pt idx="5">
                  <c:v>209</c:v>
                </c:pt>
                <c:pt idx="6">
                  <c:v>148</c:v>
                </c:pt>
                <c:pt idx="7">
                  <c:v>130</c:v>
                </c:pt>
                <c:pt idx="8">
                  <c:v>148</c:v>
                </c:pt>
                <c:pt idx="9">
                  <c:v>149</c:v>
                </c:pt>
                <c:pt idx="10">
                  <c:v>126</c:v>
                </c:pt>
                <c:pt idx="11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4-478E-B6D7-3EDC0FB90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821127"/>
        <c:axId val="634842631"/>
      </c:lineChart>
      <c:lineChart>
        <c:grouping val="standard"/>
        <c:varyColors val="0"/>
        <c:ser>
          <c:idx val="2"/>
          <c:order val="1"/>
          <c:tx>
            <c:strRef>
              <c:f>ANALYZE!$P$21</c:f>
              <c:strCache>
                <c:ptCount val="1"/>
                <c:pt idx="0">
                  <c:v>Empregos formais no turismo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ANALYZE!$N$22:$N$33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ANALYZE!$P$22:$P$33</c:f>
              <c:numCache>
                <c:formatCode>#,##0</c:formatCode>
                <c:ptCount val="12"/>
                <c:pt idx="0">
                  <c:v>516.00000000000011</c:v>
                </c:pt>
                <c:pt idx="1">
                  <c:v>486.00000000000006</c:v>
                </c:pt>
                <c:pt idx="2">
                  <c:v>510</c:v>
                </c:pt>
                <c:pt idx="3">
                  <c:v>689</c:v>
                </c:pt>
                <c:pt idx="4">
                  <c:v>613</c:v>
                </c:pt>
                <c:pt idx="5">
                  <c:v>575</c:v>
                </c:pt>
                <c:pt idx="6">
                  <c:v>385.99999999999994</c:v>
                </c:pt>
                <c:pt idx="7">
                  <c:v>335.00000000000006</c:v>
                </c:pt>
                <c:pt idx="8">
                  <c:v>311</c:v>
                </c:pt>
                <c:pt idx="9">
                  <c:v>323</c:v>
                </c:pt>
                <c:pt idx="10">
                  <c:v>310.00000000000006</c:v>
                </c:pt>
                <c:pt idx="11">
                  <c:v>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E4-478E-B6D7-3EDC0FB90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476551"/>
        <c:axId val="32671239"/>
      </c:lineChart>
      <c:catAx>
        <c:axId val="634821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42631"/>
        <c:crosses val="autoZero"/>
        <c:auto val="1"/>
        <c:lblAlgn val="ctr"/>
        <c:lblOffset val="100"/>
        <c:noMultiLvlLbl val="0"/>
      </c:catAx>
      <c:valAx>
        <c:axId val="634842631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821127"/>
        <c:crosses val="autoZero"/>
        <c:crossBetween val="between"/>
      </c:valAx>
      <c:valAx>
        <c:axId val="3267123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6551"/>
        <c:crosses val="max"/>
        <c:crossBetween val="between"/>
      </c:valAx>
      <c:catAx>
        <c:axId val="344765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671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Correlação Interesse Digital x Empregos no Turismo</c:v>
          </c:tx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33C0C"/>
              </a:solidFill>
              <a:ln w="9525">
                <a:solidFill>
                  <a:srgbClr val="833C0C"/>
                </a:solidFill>
                <a:prstDash val="solid"/>
              </a:ln>
              <a:effectLst/>
            </c:spPr>
          </c:marker>
          <c:trendline>
            <c:name>Regressão Linear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ANALYZE!$O$22:$O$33</c:f>
              <c:numCache>
                <c:formatCode>General</c:formatCode>
                <c:ptCount val="12"/>
                <c:pt idx="0">
                  <c:v>246</c:v>
                </c:pt>
                <c:pt idx="1">
                  <c:v>240</c:v>
                </c:pt>
                <c:pt idx="2">
                  <c:v>248</c:v>
                </c:pt>
                <c:pt idx="3">
                  <c:v>216</c:v>
                </c:pt>
                <c:pt idx="4">
                  <c:v>238</c:v>
                </c:pt>
                <c:pt idx="5">
                  <c:v>209</c:v>
                </c:pt>
                <c:pt idx="6">
                  <c:v>148</c:v>
                </c:pt>
                <c:pt idx="7">
                  <c:v>130</c:v>
                </c:pt>
                <c:pt idx="8">
                  <c:v>148</c:v>
                </c:pt>
                <c:pt idx="9">
                  <c:v>149</c:v>
                </c:pt>
                <c:pt idx="10">
                  <c:v>126</c:v>
                </c:pt>
                <c:pt idx="11">
                  <c:v>129</c:v>
                </c:pt>
              </c:numCache>
            </c:numRef>
          </c:xVal>
          <c:yVal>
            <c:numRef>
              <c:f>ANALYZE!$P$22:$P$33</c:f>
              <c:numCache>
                <c:formatCode>#,##0</c:formatCode>
                <c:ptCount val="12"/>
                <c:pt idx="0">
                  <c:v>516.00000000000011</c:v>
                </c:pt>
                <c:pt idx="1">
                  <c:v>486.00000000000006</c:v>
                </c:pt>
                <c:pt idx="2">
                  <c:v>510</c:v>
                </c:pt>
                <c:pt idx="3">
                  <c:v>689</c:v>
                </c:pt>
                <c:pt idx="4">
                  <c:v>613</c:v>
                </c:pt>
                <c:pt idx="5">
                  <c:v>575</c:v>
                </c:pt>
                <c:pt idx="6">
                  <c:v>385.99999999999994</c:v>
                </c:pt>
                <c:pt idx="7">
                  <c:v>335.00000000000006</c:v>
                </c:pt>
                <c:pt idx="8">
                  <c:v>311</c:v>
                </c:pt>
                <c:pt idx="9">
                  <c:v>323</c:v>
                </c:pt>
                <c:pt idx="10">
                  <c:v>310.00000000000006</c:v>
                </c:pt>
                <c:pt idx="11">
                  <c:v>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1-42DF-8FF6-4F3A2CF12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874119"/>
        <c:axId val="30904327"/>
      </c:scatterChart>
      <c:valAx>
        <c:axId val="30874119"/>
        <c:scaling>
          <c:orientation val="minMax"/>
          <c:min val="1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04327"/>
        <c:crosses val="autoZero"/>
        <c:crossBetween val="midCat"/>
      </c:valAx>
      <c:valAx>
        <c:axId val="30904327"/>
        <c:scaling>
          <c:orientation val="minMax"/>
          <c:max val="8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4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PIB per capita x Empregos formais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ANALYZE!$K$21</c:f>
              <c:strCache>
                <c:ptCount val="1"/>
                <c:pt idx="0">
                  <c:v>PIB per capita</c:v>
                </c:pt>
              </c:strCache>
            </c:strRef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ANALYZE!$J$22:$J$33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ANALYZE!$K$22:$K$33</c:f>
              <c:numCache>
                <c:formatCode>"R$"\ #,##0.00</c:formatCode>
                <c:ptCount val="12"/>
                <c:pt idx="0">
                  <c:v>84767.373859722167</c:v>
                </c:pt>
                <c:pt idx="1">
                  <c:v>112768.30762577483</c:v>
                </c:pt>
                <c:pt idx="2">
                  <c:v>128449.98019529165</c:v>
                </c:pt>
                <c:pt idx="3">
                  <c:v>121883.18766571737</c:v>
                </c:pt>
                <c:pt idx="4">
                  <c:v>112731.3538463958</c:v>
                </c:pt>
                <c:pt idx="5">
                  <c:v>66045.500697096446</c:v>
                </c:pt>
                <c:pt idx="6">
                  <c:v>35783.123270826931</c:v>
                </c:pt>
                <c:pt idx="7">
                  <c:v>39701.729770332422</c:v>
                </c:pt>
                <c:pt idx="8">
                  <c:v>58849.255765845373</c:v>
                </c:pt>
                <c:pt idx="9">
                  <c:v>51404.52234625748</c:v>
                </c:pt>
                <c:pt idx="10">
                  <c:v>40869.1951312237</c:v>
                </c:pt>
                <c:pt idx="11">
                  <c:v>56096.358655792988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B0-4FF1-A626-ECAE1F57F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2381192"/>
        <c:axId val="1578217992"/>
      </c:lineChart>
      <c:lineChart>
        <c:grouping val="standard"/>
        <c:varyColors val="0"/>
        <c:ser>
          <c:idx val="2"/>
          <c:order val="1"/>
          <c:tx>
            <c:strRef>
              <c:f>ANALYZE!$L$21</c:f>
              <c:strCache>
                <c:ptCount val="1"/>
                <c:pt idx="0">
                  <c:v>Empregos formais totais</c:v>
                </c:pt>
              </c:strCache>
            </c:strRef>
          </c:tx>
          <c:spPr>
            <a:ln w="28575" cap="rnd">
              <a:solidFill>
                <a:srgbClr val="833C0C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ANALYZE!$J$22:$J$33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ANALYZE!$L$22:$L$33</c:f>
              <c:numCache>
                <c:formatCode>#,##0</c:formatCode>
                <c:ptCount val="12"/>
                <c:pt idx="0">
                  <c:v>29934</c:v>
                </c:pt>
                <c:pt idx="1">
                  <c:v>32482</c:v>
                </c:pt>
                <c:pt idx="2">
                  <c:v>38171</c:v>
                </c:pt>
                <c:pt idx="3">
                  <c:v>65349</c:v>
                </c:pt>
                <c:pt idx="4">
                  <c:v>47319</c:v>
                </c:pt>
                <c:pt idx="5">
                  <c:v>47021</c:v>
                </c:pt>
                <c:pt idx="6">
                  <c:v>39344</c:v>
                </c:pt>
                <c:pt idx="7">
                  <c:v>37819.000000000007</c:v>
                </c:pt>
                <c:pt idx="8">
                  <c:v>37422</c:v>
                </c:pt>
                <c:pt idx="9">
                  <c:v>39162</c:v>
                </c:pt>
                <c:pt idx="10">
                  <c:v>38899</c:v>
                </c:pt>
                <c:pt idx="11">
                  <c:v>41767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B0-4FF1-A626-ECAE1F57F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960008"/>
        <c:axId val="2048936456"/>
      </c:lineChart>
      <c:catAx>
        <c:axId val="185238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217992"/>
        <c:crosses val="autoZero"/>
        <c:auto val="1"/>
        <c:lblAlgn val="ctr"/>
        <c:lblOffset val="100"/>
        <c:noMultiLvlLbl val="0"/>
      </c:catAx>
      <c:valAx>
        <c:axId val="1578217992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381192"/>
        <c:crosses val="autoZero"/>
        <c:crossBetween val="between"/>
      </c:valAx>
      <c:valAx>
        <c:axId val="204893645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60008"/>
        <c:crosses val="max"/>
        <c:crossBetween val="between"/>
      </c:valAx>
      <c:catAx>
        <c:axId val="2048960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489364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Correlação PIB per capita x Empregos Formais Totais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33C0C"/>
              </a:solidFill>
              <a:ln w="9525">
                <a:solidFill>
                  <a:srgbClr val="833C0C"/>
                </a:solidFill>
                <a:prstDash val="solid"/>
              </a:ln>
              <a:effectLst/>
            </c:spPr>
          </c:marker>
          <c:trendline>
            <c:name>Regressão linear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ANALYZE!$K$22:$K$33</c:f>
              <c:numCache>
                <c:formatCode>"R$"\ #,##0.00</c:formatCode>
                <c:ptCount val="12"/>
                <c:pt idx="0">
                  <c:v>84767.373859722167</c:v>
                </c:pt>
                <c:pt idx="1">
                  <c:v>112768.30762577483</c:v>
                </c:pt>
                <c:pt idx="2">
                  <c:v>128449.98019529165</c:v>
                </c:pt>
                <c:pt idx="3">
                  <c:v>121883.18766571737</c:v>
                </c:pt>
                <c:pt idx="4">
                  <c:v>112731.3538463958</c:v>
                </c:pt>
                <c:pt idx="5">
                  <c:v>66045.500697096446</c:v>
                </c:pt>
                <c:pt idx="6">
                  <c:v>35783.123270826931</c:v>
                </c:pt>
                <c:pt idx="7">
                  <c:v>39701.729770332422</c:v>
                </c:pt>
                <c:pt idx="8">
                  <c:v>58849.255765845373</c:v>
                </c:pt>
                <c:pt idx="9">
                  <c:v>51404.52234625748</c:v>
                </c:pt>
                <c:pt idx="10">
                  <c:v>40869.1951312237</c:v>
                </c:pt>
                <c:pt idx="11">
                  <c:v>56096.358655792988</c:v>
                </c:pt>
              </c:numCache>
            </c:numRef>
          </c:xVal>
          <c:yVal>
            <c:numRef>
              <c:f>ANALYZE!$L$22:$L$33</c:f>
              <c:numCache>
                <c:formatCode>#,##0</c:formatCode>
                <c:ptCount val="12"/>
                <c:pt idx="0">
                  <c:v>29934</c:v>
                </c:pt>
                <c:pt idx="1">
                  <c:v>32482</c:v>
                </c:pt>
                <c:pt idx="2">
                  <c:v>38171</c:v>
                </c:pt>
                <c:pt idx="3">
                  <c:v>65349</c:v>
                </c:pt>
                <c:pt idx="4">
                  <c:v>47319</c:v>
                </c:pt>
                <c:pt idx="5">
                  <c:v>47021</c:v>
                </c:pt>
                <c:pt idx="6">
                  <c:v>39344</c:v>
                </c:pt>
                <c:pt idx="7">
                  <c:v>37819.000000000007</c:v>
                </c:pt>
                <c:pt idx="8">
                  <c:v>37422</c:v>
                </c:pt>
                <c:pt idx="9">
                  <c:v>39162</c:v>
                </c:pt>
                <c:pt idx="10">
                  <c:v>38899</c:v>
                </c:pt>
                <c:pt idx="11">
                  <c:v>41767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5E-4750-8244-C7A728F7E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8969224"/>
        <c:axId val="2048975368"/>
      </c:scatterChart>
      <c:valAx>
        <c:axId val="2048969224"/>
        <c:scaling>
          <c:orientation val="minMax"/>
          <c:max val="130000"/>
          <c:min val="3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75368"/>
        <c:crosses val="autoZero"/>
        <c:crossBetween val="midCat"/>
        <c:majorUnit val="20000"/>
      </c:valAx>
      <c:valAx>
        <c:axId val="2048975368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969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Roubos x Furtos x Empregos no Turismo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ANALYZE!$S$21</c:f>
              <c:strCache>
                <c:ptCount val="1"/>
                <c:pt idx="0">
                  <c:v>Roubos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ANALYZE!$R$22:$R$29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ANALYZE!$S$22:$S$29</c:f>
              <c:numCache>
                <c:formatCode>#,##0</c:formatCode>
                <c:ptCount val="8"/>
                <c:pt idx="0">
                  <c:v>681.1</c:v>
                </c:pt>
                <c:pt idx="1">
                  <c:v>565.4</c:v>
                </c:pt>
                <c:pt idx="2">
                  <c:v>804.9</c:v>
                </c:pt>
                <c:pt idx="3">
                  <c:v>651.29999999999995</c:v>
                </c:pt>
                <c:pt idx="4">
                  <c:v>779.5</c:v>
                </c:pt>
                <c:pt idx="5">
                  <c:v>569.29999999999995</c:v>
                </c:pt>
                <c:pt idx="6">
                  <c:v>458.9</c:v>
                </c:pt>
                <c:pt idx="7">
                  <c:v>368.5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82-4766-9611-E7D2B254A41B}"/>
            </c:ext>
          </c:extLst>
        </c:ser>
        <c:ser>
          <c:idx val="2"/>
          <c:order val="1"/>
          <c:tx>
            <c:strRef>
              <c:f>ANALYZE!$T$21</c:f>
              <c:strCache>
                <c:ptCount val="1"/>
                <c:pt idx="0">
                  <c:v>Furtos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ANALYZE!$R$22:$R$29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ANALYZE!$T$22:$T$29</c:f>
              <c:numCache>
                <c:formatCode>#,##0</c:formatCode>
                <c:ptCount val="8"/>
                <c:pt idx="0">
                  <c:v>1439.2</c:v>
                </c:pt>
                <c:pt idx="1">
                  <c:v>1373.9</c:v>
                </c:pt>
                <c:pt idx="2">
                  <c:v>1129.4000000000001</c:v>
                </c:pt>
                <c:pt idx="3">
                  <c:v>946.4</c:v>
                </c:pt>
                <c:pt idx="4">
                  <c:v>886.4</c:v>
                </c:pt>
                <c:pt idx="5">
                  <c:v>1034.9000000000001</c:v>
                </c:pt>
                <c:pt idx="6">
                  <c:v>800.1</c:v>
                </c:pt>
                <c:pt idx="7">
                  <c:v>814.3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A82-4766-9611-E7D2B254A41B}"/>
            </c:ext>
          </c:extLst>
        </c:ser>
        <c:ser>
          <c:idx val="4"/>
          <c:order val="2"/>
          <c:tx>
            <c:strRef>
              <c:f>ANALYZE!$U$21</c:f>
              <c:strCache>
                <c:ptCount val="1"/>
                <c:pt idx="0">
                  <c:v>Empregos no Setor do Turismo</c:v>
                </c:pt>
              </c:strCache>
            </c:strRef>
          </c:tx>
          <c:spPr>
            <a:ln w="28575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ANALYZE!$R$22:$R$29</c:f>
              <c:numCache>
                <c:formatCode>General</c:formatCode>
                <c:ptCount val="8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</c:numCache>
            </c:numRef>
          </c:cat>
          <c:val>
            <c:numRef>
              <c:f>ANALYZE!$U$22:$U$29</c:f>
              <c:numCache>
                <c:formatCode>#,##0</c:formatCode>
                <c:ptCount val="8"/>
                <c:pt idx="0">
                  <c:v>613</c:v>
                </c:pt>
                <c:pt idx="1">
                  <c:v>575</c:v>
                </c:pt>
                <c:pt idx="2">
                  <c:v>385.99999999999994</c:v>
                </c:pt>
                <c:pt idx="3">
                  <c:v>335.00000000000006</c:v>
                </c:pt>
                <c:pt idx="4">
                  <c:v>311</c:v>
                </c:pt>
                <c:pt idx="5">
                  <c:v>323</c:v>
                </c:pt>
                <c:pt idx="6">
                  <c:v>310.00000000000006</c:v>
                </c:pt>
                <c:pt idx="7">
                  <c:v>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A82-4766-9611-E7D2B254A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728200"/>
        <c:axId val="1966730248"/>
      </c:lineChart>
      <c:catAx>
        <c:axId val="196672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30248"/>
        <c:crosses val="autoZero"/>
        <c:auto val="1"/>
        <c:lblAlgn val="ctr"/>
        <c:lblOffset val="100"/>
        <c:noMultiLvlLbl val="0"/>
      </c:catAx>
      <c:valAx>
        <c:axId val="1966730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72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Correlação Furtos x Empregos no Setor do Turismo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222B3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ANALYZE!T22:T29</c:f>
              <c:numCache>
                <c:formatCode>#,##0</c:formatCode>
                <c:ptCount val="8"/>
                <c:pt idx="0">
                  <c:v>1439.2</c:v>
                </c:pt>
                <c:pt idx="1">
                  <c:v>1373.9</c:v>
                </c:pt>
                <c:pt idx="2">
                  <c:v>1129.4000000000001</c:v>
                </c:pt>
                <c:pt idx="3">
                  <c:v>946.4</c:v>
                </c:pt>
                <c:pt idx="4">
                  <c:v>886.4</c:v>
                </c:pt>
                <c:pt idx="5">
                  <c:v>1034.9000000000001</c:v>
                </c:pt>
                <c:pt idx="6">
                  <c:v>800.1</c:v>
                </c:pt>
                <c:pt idx="7">
                  <c:v>814.3</c:v>
                </c:pt>
              </c:numCache>
            </c:numRef>
          </c:xVal>
          <c:yVal>
            <c:numRef>
              <c:f>ANALYZE!U22:U29</c:f>
              <c:numCache>
                <c:formatCode>#,##0</c:formatCode>
                <c:ptCount val="8"/>
                <c:pt idx="0">
                  <c:v>613</c:v>
                </c:pt>
                <c:pt idx="1">
                  <c:v>575</c:v>
                </c:pt>
                <c:pt idx="2">
                  <c:v>385.99999999999994</c:v>
                </c:pt>
                <c:pt idx="3">
                  <c:v>335.00000000000006</c:v>
                </c:pt>
                <c:pt idx="4">
                  <c:v>311</c:v>
                </c:pt>
                <c:pt idx="5">
                  <c:v>323</c:v>
                </c:pt>
                <c:pt idx="6">
                  <c:v>310.00000000000006</c:v>
                </c:pt>
                <c:pt idx="7">
                  <c:v>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9D-477F-B205-7F4B68589254}"/>
            </c:ext>
          </c:extLst>
        </c:ser>
        <c:ser>
          <c:idx val="1"/>
          <c:order val="1"/>
          <c:tx>
            <c:v>Correlação Roubos x Empregos no Setor do Turismo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37562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ANALYZE!S22:S29</c:f>
              <c:numCache>
                <c:formatCode>#,##0</c:formatCode>
                <c:ptCount val="8"/>
                <c:pt idx="0">
                  <c:v>681.1</c:v>
                </c:pt>
                <c:pt idx="1">
                  <c:v>565.4</c:v>
                </c:pt>
                <c:pt idx="2">
                  <c:v>804.9</c:v>
                </c:pt>
                <c:pt idx="3">
                  <c:v>651.29999999999995</c:v>
                </c:pt>
                <c:pt idx="4">
                  <c:v>779.5</c:v>
                </c:pt>
                <c:pt idx="5">
                  <c:v>569.29999999999995</c:v>
                </c:pt>
                <c:pt idx="6">
                  <c:v>458.9</c:v>
                </c:pt>
                <c:pt idx="7">
                  <c:v>368.5</c:v>
                </c:pt>
              </c:numCache>
            </c:numRef>
          </c:xVal>
          <c:yVal>
            <c:numRef>
              <c:f>ANALYZE!U22:U29</c:f>
              <c:numCache>
                <c:formatCode>#,##0</c:formatCode>
                <c:ptCount val="8"/>
                <c:pt idx="0">
                  <c:v>613</c:v>
                </c:pt>
                <c:pt idx="1">
                  <c:v>575</c:v>
                </c:pt>
                <c:pt idx="2">
                  <c:v>385.99999999999994</c:v>
                </c:pt>
                <c:pt idx="3">
                  <c:v>335.00000000000006</c:v>
                </c:pt>
                <c:pt idx="4">
                  <c:v>311</c:v>
                </c:pt>
                <c:pt idx="5">
                  <c:v>323</c:v>
                </c:pt>
                <c:pt idx="6">
                  <c:v>310.00000000000006</c:v>
                </c:pt>
                <c:pt idx="7">
                  <c:v>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19D-477F-B205-7F4B6858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8246536"/>
        <c:axId val="1548260872"/>
      </c:scatterChart>
      <c:valAx>
        <c:axId val="1548246536"/>
        <c:scaling>
          <c:orientation val="minMax"/>
          <c:max val="15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60872"/>
        <c:crosses val="autoZero"/>
        <c:crossBetween val="midCat"/>
      </c:valAx>
      <c:valAx>
        <c:axId val="1548260872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46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Relationship Id="rId9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18</xdr:row>
      <xdr:rowOff>104775</xdr:rowOff>
    </xdr:from>
    <xdr:to>
      <xdr:col>2</xdr:col>
      <xdr:colOff>809625</xdr:colOff>
      <xdr:row>23</xdr:row>
      <xdr:rowOff>104775</xdr:rowOff>
    </xdr:to>
    <xdr:sp macro="" textlink="">
      <xdr:nvSpPr>
        <xdr:cNvPr id="21" name="Oval 1">
          <a:extLst>
            <a:ext uri="{FF2B5EF4-FFF2-40B4-BE49-F238E27FC236}">
              <a16:creationId xmlns:a16="http://schemas.microsoft.com/office/drawing/2014/main" id="{8CBD9D6A-ED36-4A81-B356-D335E2000DF9}"/>
            </a:ext>
          </a:extLst>
        </xdr:cNvPr>
        <xdr:cNvSpPr/>
      </xdr:nvSpPr>
      <xdr:spPr>
        <a:xfrm>
          <a:off x="638175" y="4429125"/>
          <a:ext cx="2333625" cy="1000125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INVESTIMENTO PÚBLICO</a:t>
          </a:r>
        </a:p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+</a:t>
          </a:r>
        </a:p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INVESTIMENTO PRIVADO</a:t>
          </a:r>
          <a:endParaRPr lang="en-US" sz="1100" b="1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809625</xdr:colOff>
      <xdr:row>21</xdr:row>
      <xdr:rowOff>4763</xdr:rowOff>
    </xdr:from>
    <xdr:to>
      <xdr:col>2</xdr:col>
      <xdr:colOff>1000125</xdr:colOff>
      <xdr:row>21</xdr:row>
      <xdr:rowOff>4763</xdr:rowOff>
    </xdr:to>
    <xdr:cxnSp macro="">
      <xdr:nvCxnSpPr>
        <xdr:cNvPr id="22" name="Conector Reto 2">
          <a:extLst>
            <a:ext uri="{FF2B5EF4-FFF2-40B4-BE49-F238E27FC236}">
              <a16:creationId xmlns:a16="http://schemas.microsoft.com/office/drawing/2014/main" id="{AEABB0C2-CBF9-4B57-B02B-05F50998D4B9}"/>
            </a:ext>
            <a:ext uri="{147F2762-F138-4A5C-976F-8EAC2B608ADB}">
              <a16:predDERef xmlns:a16="http://schemas.microsoft.com/office/drawing/2014/main" pred="{8CBD9D6A-ED36-4A81-B356-D335E2000DF9}"/>
            </a:ext>
          </a:extLst>
        </xdr:cNvPr>
        <xdr:cNvCxnSpPr>
          <a:cxnSpLocks/>
          <a:stCxn id="21" idx="6"/>
          <a:endCxn id="23" idx="1"/>
          <a:extLst>
            <a:ext uri="{5F17804C-33F3-41E3-A699-7DCFA2EF7971}">
              <a16:cxnDERefs xmlns:a16="http://schemas.microsoft.com/office/drawing/2014/main" st="{8CBD9D6A-ED36-4A81-B356-D335E2000DF9}" end="{1F8A1E2B-AFD5-442A-AADC-CDE6F7E1D10F}"/>
            </a:ext>
          </a:extLst>
        </xdr:cNvCxnSpPr>
      </xdr:nvCxnSpPr>
      <xdr:spPr>
        <a:xfrm>
          <a:off x="2971800" y="4929188"/>
          <a:ext cx="19050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1000125</xdr:colOff>
      <xdr:row>18</xdr:row>
      <xdr:rowOff>180975</xdr:rowOff>
    </xdr:from>
    <xdr:to>
      <xdr:col>3</xdr:col>
      <xdr:colOff>152400</xdr:colOff>
      <xdr:row>23</xdr:row>
      <xdr:rowOff>28575</xdr:rowOff>
    </xdr:to>
    <xdr:sp macro="" textlink="">
      <xdr:nvSpPr>
        <xdr:cNvPr id="23" name="Retângulo 3">
          <a:extLst>
            <a:ext uri="{FF2B5EF4-FFF2-40B4-BE49-F238E27FC236}">
              <a16:creationId xmlns:a16="http://schemas.microsoft.com/office/drawing/2014/main" id="{1F8A1E2B-AFD5-442A-AADC-CDE6F7E1D10F}"/>
            </a:ext>
            <a:ext uri="{147F2762-F138-4A5C-976F-8EAC2B608ADB}">
              <a16:predDERef xmlns:a16="http://schemas.microsoft.com/office/drawing/2014/main" pred="{AEABB0C2-CBF9-4B57-B02B-05F50998D4B9}"/>
            </a:ext>
          </a:extLst>
        </xdr:cNvPr>
        <xdr:cNvSpPr/>
      </xdr:nvSpPr>
      <xdr:spPr>
        <a:xfrm>
          <a:off x="3162300" y="4505325"/>
          <a:ext cx="1276350" cy="8477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INFRAESTRUTURA TURÍSTICA</a:t>
          </a:r>
        </a:p>
      </xdr:txBody>
    </xdr:sp>
    <xdr:clientData/>
  </xdr:twoCellAnchor>
  <xdr:twoCellAnchor>
    <xdr:from>
      <xdr:col>3</xdr:col>
      <xdr:colOff>152400</xdr:colOff>
      <xdr:row>21</xdr:row>
      <xdr:rowOff>4763</xdr:rowOff>
    </xdr:from>
    <xdr:to>
      <xdr:col>3</xdr:col>
      <xdr:colOff>400050</xdr:colOff>
      <xdr:row>21</xdr:row>
      <xdr:rowOff>4763</xdr:rowOff>
    </xdr:to>
    <xdr:cxnSp macro="">
      <xdr:nvCxnSpPr>
        <xdr:cNvPr id="24" name="Conector Reto 4">
          <a:extLst>
            <a:ext uri="{FF2B5EF4-FFF2-40B4-BE49-F238E27FC236}">
              <a16:creationId xmlns:a16="http://schemas.microsoft.com/office/drawing/2014/main" id="{57F7CAAB-C27E-4F08-B4E9-D24530E763F0}"/>
            </a:ext>
            <a:ext uri="{147F2762-F138-4A5C-976F-8EAC2B608ADB}">
              <a16:predDERef xmlns:a16="http://schemas.microsoft.com/office/drawing/2014/main" pred="{1F8A1E2B-AFD5-442A-AADC-CDE6F7E1D10F}"/>
            </a:ext>
          </a:extLst>
        </xdr:cNvPr>
        <xdr:cNvCxnSpPr>
          <a:cxnSpLocks/>
          <a:stCxn id="23" idx="3"/>
          <a:endCxn id="25" idx="1"/>
          <a:extLst>
            <a:ext uri="{5F17804C-33F3-41E3-A699-7DCFA2EF7971}">
              <a16:cxnDERefs xmlns:a16="http://schemas.microsoft.com/office/drawing/2014/main" st="{1F8A1E2B-AFD5-442A-AADC-CDE6F7E1D10F}" end="{584466D8-961F-4CE5-AA72-27609CD2EE65}"/>
            </a:ext>
          </a:extLst>
        </xdr:cNvCxnSpPr>
      </xdr:nvCxnSpPr>
      <xdr:spPr>
        <a:xfrm>
          <a:off x="4438650" y="4929188"/>
          <a:ext cx="24765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400050</xdr:colOff>
      <xdr:row>18</xdr:row>
      <xdr:rowOff>180975</xdr:rowOff>
    </xdr:from>
    <xdr:to>
      <xdr:col>3</xdr:col>
      <xdr:colOff>2114550</xdr:colOff>
      <xdr:row>23</xdr:row>
      <xdr:rowOff>28575</xdr:rowOff>
    </xdr:to>
    <xdr:sp macro="" textlink="">
      <xdr:nvSpPr>
        <xdr:cNvPr id="25" name="Retângulo 5">
          <a:extLst>
            <a:ext uri="{FF2B5EF4-FFF2-40B4-BE49-F238E27FC236}">
              <a16:creationId xmlns:a16="http://schemas.microsoft.com/office/drawing/2014/main" id="{584466D8-961F-4CE5-AA72-27609CD2EE65}"/>
            </a:ext>
            <a:ext uri="{147F2762-F138-4A5C-976F-8EAC2B608ADB}">
              <a16:predDERef xmlns:a16="http://schemas.microsoft.com/office/drawing/2014/main" pred="{57F7CAAB-C27E-4F08-B4E9-D24530E763F0}"/>
            </a:ext>
          </a:extLst>
        </xdr:cNvPr>
        <xdr:cNvSpPr/>
      </xdr:nvSpPr>
      <xdr:spPr>
        <a:xfrm>
          <a:off x="4686300" y="4505325"/>
          <a:ext cx="1714500" cy="8477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ATRAÇÃO TURÍSTICA</a:t>
          </a:r>
        </a:p>
      </xdr:txBody>
    </xdr:sp>
    <xdr:clientData/>
  </xdr:twoCellAnchor>
  <xdr:twoCellAnchor>
    <xdr:from>
      <xdr:col>3</xdr:col>
      <xdr:colOff>2114550</xdr:colOff>
      <xdr:row>21</xdr:row>
      <xdr:rowOff>4763</xdr:rowOff>
    </xdr:from>
    <xdr:to>
      <xdr:col>3</xdr:col>
      <xdr:colOff>2390775</xdr:colOff>
      <xdr:row>21</xdr:row>
      <xdr:rowOff>4763</xdr:rowOff>
    </xdr:to>
    <xdr:cxnSp macro="">
      <xdr:nvCxnSpPr>
        <xdr:cNvPr id="26" name="Conector Reto 6">
          <a:extLst>
            <a:ext uri="{FF2B5EF4-FFF2-40B4-BE49-F238E27FC236}">
              <a16:creationId xmlns:a16="http://schemas.microsoft.com/office/drawing/2014/main" id="{7FF1C922-3A54-4B20-A913-F79452A5635C}"/>
            </a:ext>
            <a:ext uri="{147F2762-F138-4A5C-976F-8EAC2B608ADB}">
              <a16:predDERef xmlns:a16="http://schemas.microsoft.com/office/drawing/2014/main" pred="{584466D8-961F-4CE5-AA72-27609CD2EE65}"/>
            </a:ext>
          </a:extLst>
        </xdr:cNvPr>
        <xdr:cNvCxnSpPr>
          <a:cxnSpLocks/>
          <a:stCxn id="25" idx="3"/>
          <a:endCxn id="27" idx="1"/>
          <a:extLst>
            <a:ext uri="{5F17804C-33F3-41E3-A699-7DCFA2EF7971}">
              <a16:cxnDERefs xmlns:a16="http://schemas.microsoft.com/office/drawing/2014/main" st="{584466D8-961F-4CE5-AA72-27609CD2EE65}" end="{750DC4CD-4EC8-49EC-8C19-E2A9531CA30F}"/>
            </a:ext>
          </a:extLst>
        </xdr:cNvCxnSpPr>
      </xdr:nvCxnSpPr>
      <xdr:spPr>
        <a:xfrm>
          <a:off x="6400800" y="4929188"/>
          <a:ext cx="276225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2390775</xdr:colOff>
      <xdr:row>18</xdr:row>
      <xdr:rowOff>180975</xdr:rowOff>
    </xdr:from>
    <xdr:to>
      <xdr:col>3</xdr:col>
      <xdr:colOff>3914775</xdr:colOff>
      <xdr:row>23</xdr:row>
      <xdr:rowOff>28575</xdr:rowOff>
    </xdr:to>
    <xdr:sp macro="" textlink="">
      <xdr:nvSpPr>
        <xdr:cNvPr id="27" name="Retângulo 7">
          <a:extLst>
            <a:ext uri="{FF2B5EF4-FFF2-40B4-BE49-F238E27FC236}">
              <a16:creationId xmlns:a16="http://schemas.microsoft.com/office/drawing/2014/main" id="{750DC4CD-4EC8-49EC-8C19-E2A9531CA30F}"/>
            </a:ext>
            <a:ext uri="{147F2762-F138-4A5C-976F-8EAC2B608ADB}">
              <a16:predDERef xmlns:a16="http://schemas.microsoft.com/office/drawing/2014/main" pred="{7FF1C922-3A54-4B20-A913-F79452A5635C}"/>
            </a:ext>
          </a:extLst>
        </xdr:cNvPr>
        <xdr:cNvSpPr/>
      </xdr:nvSpPr>
      <xdr:spPr>
        <a:xfrm>
          <a:off x="6677025" y="4505325"/>
          <a:ext cx="1524000" cy="8477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CONSUMO LOCAL</a:t>
          </a:r>
        </a:p>
      </xdr:txBody>
    </xdr:sp>
    <xdr:clientData/>
  </xdr:twoCellAnchor>
  <xdr:twoCellAnchor>
    <xdr:from>
      <xdr:col>3</xdr:col>
      <xdr:colOff>3152775</xdr:colOff>
      <xdr:row>23</xdr:row>
      <xdr:rowOff>28575</xdr:rowOff>
    </xdr:from>
    <xdr:to>
      <xdr:col>3</xdr:col>
      <xdr:colOff>3152775</xdr:colOff>
      <xdr:row>23</xdr:row>
      <xdr:rowOff>28575</xdr:rowOff>
    </xdr:to>
    <xdr:cxnSp macro="">
      <xdr:nvCxnSpPr>
        <xdr:cNvPr id="28" name="Conector Reto 8">
          <a:extLst>
            <a:ext uri="{FF2B5EF4-FFF2-40B4-BE49-F238E27FC236}">
              <a16:creationId xmlns:a16="http://schemas.microsoft.com/office/drawing/2014/main" id="{3A32FCDB-DC94-4ADC-8FD1-9420E5940CDA}"/>
            </a:ext>
            <a:ext uri="{147F2762-F138-4A5C-976F-8EAC2B608ADB}">
              <a16:predDERef xmlns:a16="http://schemas.microsoft.com/office/drawing/2014/main" pred="{750DC4CD-4EC8-49EC-8C19-E2A9531CA30F}"/>
            </a:ext>
          </a:extLst>
        </xdr:cNvPr>
        <xdr:cNvCxnSpPr>
          <a:cxnSpLocks/>
          <a:stCxn id="27" idx="2"/>
          <a:endCxn id="27" idx="2"/>
          <a:extLst>
            <a:ext uri="{5F17804C-33F3-41E3-A699-7DCFA2EF7971}">
              <a16:cxnDERefs xmlns:a16="http://schemas.microsoft.com/office/drawing/2014/main" st="{750DC4CD-4EC8-49EC-8C19-E2A9531CA30F}" end="{750DC4CD-4EC8-49EC-8C19-E2A9531CA30F}"/>
            </a:ext>
          </a:extLst>
        </xdr:cNvCxnSpPr>
      </xdr:nvCxnSpPr>
      <xdr:spPr>
        <a:xfrm>
          <a:off x="7439025" y="5353050"/>
          <a:ext cx="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2400300</xdr:colOff>
      <xdr:row>24</xdr:row>
      <xdr:rowOff>76200</xdr:rowOff>
    </xdr:from>
    <xdr:to>
      <xdr:col>3</xdr:col>
      <xdr:colOff>3905250</xdr:colOff>
      <xdr:row>27</xdr:row>
      <xdr:rowOff>57150</xdr:rowOff>
    </xdr:to>
    <xdr:sp macro="" textlink="">
      <xdr:nvSpPr>
        <xdr:cNvPr id="29" name="Retângulo 9">
          <a:extLst>
            <a:ext uri="{FF2B5EF4-FFF2-40B4-BE49-F238E27FC236}">
              <a16:creationId xmlns:a16="http://schemas.microsoft.com/office/drawing/2014/main" id="{82107102-6148-46E8-8F31-567823D75D42}"/>
            </a:ext>
            <a:ext uri="{147F2762-F138-4A5C-976F-8EAC2B608ADB}">
              <a16:predDERef xmlns:a16="http://schemas.microsoft.com/office/drawing/2014/main" pred="{3A32FCDB-DC94-4ADC-8FD1-9420E5940CDA}"/>
            </a:ext>
          </a:extLst>
        </xdr:cNvPr>
        <xdr:cNvSpPr/>
      </xdr:nvSpPr>
      <xdr:spPr>
        <a:xfrm>
          <a:off x="6686550" y="5600700"/>
          <a:ext cx="1504950" cy="5810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EMPREGOS</a:t>
          </a:r>
        </a:p>
      </xdr:txBody>
    </xdr:sp>
    <xdr:clientData/>
  </xdr:twoCellAnchor>
  <xdr:twoCellAnchor>
    <xdr:from>
      <xdr:col>3</xdr:col>
      <xdr:colOff>3152775</xdr:colOff>
      <xdr:row>23</xdr:row>
      <xdr:rowOff>28575</xdr:rowOff>
    </xdr:from>
    <xdr:to>
      <xdr:col>3</xdr:col>
      <xdr:colOff>3152775</xdr:colOff>
      <xdr:row>24</xdr:row>
      <xdr:rowOff>76200</xdr:rowOff>
    </xdr:to>
    <xdr:cxnSp macro="">
      <xdr:nvCxnSpPr>
        <xdr:cNvPr id="30" name="Conector Reto 10">
          <a:extLst>
            <a:ext uri="{FF2B5EF4-FFF2-40B4-BE49-F238E27FC236}">
              <a16:creationId xmlns:a16="http://schemas.microsoft.com/office/drawing/2014/main" id="{5682491D-594D-4F25-9EEC-7E84AAA0684A}"/>
            </a:ext>
            <a:ext uri="{147F2762-F138-4A5C-976F-8EAC2B608ADB}">
              <a16:predDERef xmlns:a16="http://schemas.microsoft.com/office/drawing/2014/main" pred="{82107102-6148-46E8-8F31-567823D75D42}"/>
            </a:ext>
          </a:extLst>
        </xdr:cNvPr>
        <xdr:cNvCxnSpPr>
          <a:cxnSpLocks/>
          <a:stCxn id="27" idx="2"/>
          <a:endCxn id="29" idx="0"/>
          <a:extLst>
            <a:ext uri="{5F17804C-33F3-41E3-A699-7DCFA2EF7971}">
              <a16:cxnDERefs xmlns:a16="http://schemas.microsoft.com/office/drawing/2014/main" st="{750DC4CD-4EC8-49EC-8C19-E2A9531CA30F}" end="{82107102-6148-46E8-8F31-567823D75D42}"/>
            </a:ext>
          </a:extLst>
        </xdr:cNvCxnSpPr>
      </xdr:nvCxnSpPr>
      <xdr:spPr>
        <a:xfrm>
          <a:off x="7439025" y="5353050"/>
          <a:ext cx="0" cy="24765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1752600</xdr:colOff>
      <xdr:row>25</xdr:row>
      <xdr:rowOff>166688</xdr:rowOff>
    </xdr:from>
    <xdr:to>
      <xdr:col>3</xdr:col>
      <xdr:colOff>2400300</xdr:colOff>
      <xdr:row>25</xdr:row>
      <xdr:rowOff>171450</xdr:rowOff>
    </xdr:to>
    <xdr:cxnSp macro="">
      <xdr:nvCxnSpPr>
        <xdr:cNvPr id="31" name="Conector Reto 12">
          <a:extLst>
            <a:ext uri="{FF2B5EF4-FFF2-40B4-BE49-F238E27FC236}">
              <a16:creationId xmlns:a16="http://schemas.microsoft.com/office/drawing/2014/main" id="{597A45C9-B051-40EB-A3F6-7914080E4BD4}"/>
            </a:ext>
            <a:ext uri="{147F2762-F138-4A5C-976F-8EAC2B608ADB}">
              <a16:predDERef xmlns:a16="http://schemas.microsoft.com/office/drawing/2014/main" pred="{5682491D-594D-4F25-9EEC-7E84AAA0684A}"/>
            </a:ext>
          </a:extLst>
        </xdr:cNvPr>
        <xdr:cNvCxnSpPr>
          <a:cxnSpLocks/>
          <a:stCxn id="29" idx="1"/>
          <a:endCxn id="32" idx="3"/>
          <a:extLst>
            <a:ext uri="{5F17804C-33F3-41E3-A699-7DCFA2EF7971}">
              <a16:cxnDERefs xmlns:a16="http://schemas.microsoft.com/office/drawing/2014/main" st="{82107102-6148-46E8-8F31-567823D75D42}" end="{2A2EE9CF-2CBA-4A2F-AB95-7A898E6148F4}"/>
            </a:ext>
          </a:extLst>
        </xdr:cNvCxnSpPr>
      </xdr:nvCxnSpPr>
      <xdr:spPr>
        <a:xfrm flipH="1">
          <a:off x="6038850" y="5891213"/>
          <a:ext cx="647700" cy="4762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24</xdr:row>
      <xdr:rowOff>66675</xdr:rowOff>
    </xdr:from>
    <xdr:to>
      <xdr:col>3</xdr:col>
      <xdr:colOff>1752600</xdr:colOff>
      <xdr:row>27</xdr:row>
      <xdr:rowOff>76200</xdr:rowOff>
    </xdr:to>
    <xdr:sp macro="" textlink="">
      <xdr:nvSpPr>
        <xdr:cNvPr id="32" name="Retângulo 13">
          <a:extLst>
            <a:ext uri="{FF2B5EF4-FFF2-40B4-BE49-F238E27FC236}">
              <a16:creationId xmlns:a16="http://schemas.microsoft.com/office/drawing/2014/main" id="{2A2EE9CF-2CBA-4A2F-AB95-7A898E6148F4}"/>
            </a:ext>
            <a:ext uri="{147F2762-F138-4A5C-976F-8EAC2B608ADB}">
              <a16:predDERef xmlns:a16="http://schemas.microsoft.com/office/drawing/2014/main" pred="{597A45C9-B051-40EB-A3F6-7914080E4BD4}"/>
            </a:ext>
          </a:extLst>
        </xdr:cNvPr>
        <xdr:cNvSpPr/>
      </xdr:nvSpPr>
      <xdr:spPr>
        <a:xfrm>
          <a:off x="5629275" y="12858750"/>
          <a:ext cx="1457325" cy="609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PIB</a:t>
          </a:r>
        </a:p>
      </xdr:txBody>
    </xdr:sp>
    <xdr:clientData/>
  </xdr:twoCellAnchor>
  <xdr:twoCellAnchor>
    <xdr:from>
      <xdr:col>2</xdr:col>
      <xdr:colOff>561975</xdr:colOff>
      <xdr:row>24</xdr:row>
      <xdr:rowOff>66675</xdr:rowOff>
    </xdr:from>
    <xdr:to>
      <xdr:col>2</xdr:col>
      <xdr:colOff>1685925</xdr:colOff>
      <xdr:row>27</xdr:row>
      <xdr:rowOff>76200</xdr:rowOff>
    </xdr:to>
    <xdr:sp macro="" textlink="">
      <xdr:nvSpPr>
        <xdr:cNvPr id="33" name="Retângulo 14">
          <a:extLst>
            <a:ext uri="{FF2B5EF4-FFF2-40B4-BE49-F238E27FC236}">
              <a16:creationId xmlns:a16="http://schemas.microsoft.com/office/drawing/2014/main" id="{E4421E91-55AB-40C7-88C5-6A2602F30478}"/>
            </a:ext>
            <a:ext uri="{147F2762-F138-4A5C-976F-8EAC2B608ADB}">
              <a16:predDERef xmlns:a16="http://schemas.microsoft.com/office/drawing/2014/main" pred="{2A2EE9CF-2CBA-4A2F-AB95-7A898E6148F4}"/>
            </a:ext>
          </a:extLst>
        </xdr:cNvPr>
        <xdr:cNvSpPr/>
      </xdr:nvSpPr>
      <xdr:spPr>
        <a:xfrm>
          <a:off x="2724150" y="5591175"/>
          <a:ext cx="1123950" cy="609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PIB PER CAPITA</a:t>
          </a:r>
        </a:p>
      </xdr:txBody>
    </xdr:sp>
    <xdr:clientData/>
  </xdr:twoCellAnchor>
  <xdr:twoCellAnchor>
    <xdr:from>
      <xdr:col>2</xdr:col>
      <xdr:colOff>1685925</xdr:colOff>
      <xdr:row>25</xdr:row>
      <xdr:rowOff>171450</xdr:rowOff>
    </xdr:from>
    <xdr:to>
      <xdr:col>3</xdr:col>
      <xdr:colOff>295275</xdr:colOff>
      <xdr:row>25</xdr:row>
      <xdr:rowOff>171450</xdr:rowOff>
    </xdr:to>
    <xdr:cxnSp macro="">
      <xdr:nvCxnSpPr>
        <xdr:cNvPr id="34" name="Conector Reto 15">
          <a:extLst>
            <a:ext uri="{FF2B5EF4-FFF2-40B4-BE49-F238E27FC236}">
              <a16:creationId xmlns:a16="http://schemas.microsoft.com/office/drawing/2014/main" id="{65EB8453-6028-4595-9992-2D85B4949BE4}"/>
            </a:ext>
            <a:ext uri="{147F2762-F138-4A5C-976F-8EAC2B608ADB}">
              <a16:predDERef xmlns:a16="http://schemas.microsoft.com/office/drawing/2014/main" pred="{E4421E91-55AB-40C7-88C5-6A2602F30478}"/>
            </a:ext>
          </a:extLst>
        </xdr:cNvPr>
        <xdr:cNvCxnSpPr>
          <a:cxnSpLocks/>
          <a:stCxn id="32" idx="1"/>
          <a:endCxn id="33" idx="3"/>
          <a:extLst>
            <a:ext uri="{5F17804C-33F3-41E3-A699-7DCFA2EF7971}">
              <a16:cxnDERefs xmlns:a16="http://schemas.microsoft.com/office/drawing/2014/main" st="{2A2EE9CF-2CBA-4A2F-AB95-7A898E6148F4}" end="{E4421E91-55AB-40C7-88C5-6A2602F30478}"/>
            </a:ext>
          </a:extLst>
        </xdr:cNvCxnSpPr>
      </xdr:nvCxnSpPr>
      <xdr:spPr>
        <a:xfrm flipH="1">
          <a:off x="3848100" y="5895975"/>
          <a:ext cx="733425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28</xdr:row>
      <xdr:rowOff>152400</xdr:rowOff>
    </xdr:from>
    <xdr:to>
      <xdr:col>3</xdr:col>
      <xdr:colOff>1933575</xdr:colOff>
      <xdr:row>33</xdr:row>
      <xdr:rowOff>0</xdr:rowOff>
    </xdr:to>
    <xdr:sp macro="" textlink="">
      <xdr:nvSpPr>
        <xdr:cNvPr id="35" name="Retângulo 16">
          <a:extLst>
            <a:ext uri="{FF2B5EF4-FFF2-40B4-BE49-F238E27FC236}">
              <a16:creationId xmlns:a16="http://schemas.microsoft.com/office/drawing/2014/main" id="{EA502FCE-A668-4587-BFAB-51B0FC7DFE18}"/>
            </a:ext>
            <a:ext uri="{147F2762-F138-4A5C-976F-8EAC2B608ADB}">
              <a16:predDERef xmlns:a16="http://schemas.microsoft.com/office/drawing/2014/main" pred="{65EB8453-6028-4595-9992-2D85B4949BE4}"/>
            </a:ext>
          </a:extLst>
        </xdr:cNvPr>
        <xdr:cNvSpPr/>
      </xdr:nvSpPr>
      <xdr:spPr>
        <a:xfrm>
          <a:off x="5457825" y="13744575"/>
          <a:ext cx="1809750" cy="8477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rgbClr val="000000"/>
              </a:solidFill>
              <a:latin typeface="+mn-lt"/>
              <a:ea typeface="+mn-lt"/>
              <a:cs typeface="+mn-lt"/>
            </a:rPr>
            <a:t>ARRECADAÇÃO MUNICIPAL</a:t>
          </a:r>
        </a:p>
      </xdr:txBody>
    </xdr:sp>
    <xdr:clientData/>
  </xdr:twoCellAnchor>
  <xdr:twoCellAnchor>
    <xdr:from>
      <xdr:col>2</xdr:col>
      <xdr:colOff>257175</xdr:colOff>
      <xdr:row>28</xdr:row>
      <xdr:rowOff>76200</xdr:rowOff>
    </xdr:from>
    <xdr:to>
      <xdr:col>2</xdr:col>
      <xdr:colOff>2000250</xdr:colOff>
      <xdr:row>33</xdr:row>
      <xdr:rowOff>76200</xdr:rowOff>
    </xdr:to>
    <xdr:sp macro="" textlink="">
      <xdr:nvSpPr>
        <xdr:cNvPr id="36" name="Oval 17">
          <a:extLst>
            <a:ext uri="{FF2B5EF4-FFF2-40B4-BE49-F238E27FC236}">
              <a16:creationId xmlns:a16="http://schemas.microsoft.com/office/drawing/2014/main" id="{E2C6B10E-8486-4A3C-AF96-74E572F38BE9}"/>
            </a:ext>
            <a:ext uri="{147F2762-F138-4A5C-976F-8EAC2B608ADB}">
              <a16:predDERef xmlns:a16="http://schemas.microsoft.com/office/drawing/2014/main" pred="{EA502FCE-A668-4587-BFAB-51B0FC7DFE18}"/>
            </a:ext>
          </a:extLst>
        </xdr:cNvPr>
        <xdr:cNvSpPr/>
      </xdr:nvSpPr>
      <xdr:spPr>
        <a:xfrm>
          <a:off x="2419350" y="6400800"/>
          <a:ext cx="1743075" cy="1000125"/>
        </a:xfrm>
        <a:prstGeom prst="ellipse">
          <a:avLst/>
        </a:prstGeom>
        <a:solidFill>
          <a:schemeClr val="accent2">
            <a:lumMod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>
              <a:solidFill>
                <a:schemeClr val="bg1"/>
              </a:solidFill>
              <a:latin typeface="+mn-lt"/>
              <a:ea typeface="+mn-lt"/>
              <a:cs typeface="+mn-lt"/>
            </a:rPr>
            <a:t>QUALIDADE DE VIDA</a:t>
          </a:r>
        </a:p>
      </xdr:txBody>
    </xdr:sp>
    <xdr:clientData/>
  </xdr:twoCellAnchor>
  <xdr:twoCellAnchor>
    <xdr:from>
      <xdr:col>2</xdr:col>
      <xdr:colOff>1123950</xdr:colOff>
      <xdr:row>27</xdr:row>
      <xdr:rowOff>76200</xdr:rowOff>
    </xdr:from>
    <xdr:to>
      <xdr:col>2</xdr:col>
      <xdr:colOff>1128713</xdr:colOff>
      <xdr:row>28</xdr:row>
      <xdr:rowOff>76200</xdr:rowOff>
    </xdr:to>
    <xdr:cxnSp macro="">
      <xdr:nvCxnSpPr>
        <xdr:cNvPr id="37" name="Conector Reto 18">
          <a:extLst>
            <a:ext uri="{FF2B5EF4-FFF2-40B4-BE49-F238E27FC236}">
              <a16:creationId xmlns:a16="http://schemas.microsoft.com/office/drawing/2014/main" id="{75143A8D-1D3A-4590-917A-BBD232FBD3D7}"/>
            </a:ext>
            <a:ext uri="{147F2762-F138-4A5C-976F-8EAC2B608ADB}">
              <a16:predDERef xmlns:a16="http://schemas.microsoft.com/office/drawing/2014/main" pred="{E2C6B10E-8486-4A3C-AF96-74E572F38BE9}"/>
            </a:ext>
          </a:extLst>
        </xdr:cNvPr>
        <xdr:cNvCxnSpPr>
          <a:cxnSpLocks/>
          <a:stCxn id="33" idx="2"/>
          <a:endCxn id="36" idx="0"/>
          <a:extLst>
            <a:ext uri="{5F17804C-33F3-41E3-A699-7DCFA2EF7971}">
              <a16:cxnDERefs xmlns:a16="http://schemas.microsoft.com/office/drawing/2014/main" st="{E4421E91-55AB-40C7-88C5-6A2602F30478}" end="{E2C6B10E-8486-4A3C-AF96-74E572F38BE9}"/>
            </a:ext>
          </a:extLst>
        </xdr:cNvCxnSpPr>
      </xdr:nvCxnSpPr>
      <xdr:spPr>
        <a:xfrm>
          <a:off x="3286125" y="6200775"/>
          <a:ext cx="4763" cy="2000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1023938</xdr:colOff>
      <xdr:row>27</xdr:row>
      <xdr:rowOff>76200</xdr:rowOff>
    </xdr:from>
    <xdr:to>
      <xdr:col>3</xdr:col>
      <xdr:colOff>1028700</xdr:colOff>
      <xdr:row>28</xdr:row>
      <xdr:rowOff>152400</xdr:rowOff>
    </xdr:to>
    <xdr:cxnSp macro="">
      <xdr:nvCxnSpPr>
        <xdr:cNvPr id="38" name="Conector Reto 19">
          <a:extLst>
            <a:ext uri="{FF2B5EF4-FFF2-40B4-BE49-F238E27FC236}">
              <a16:creationId xmlns:a16="http://schemas.microsoft.com/office/drawing/2014/main" id="{3C9D5D9D-206D-4835-9B3E-CBDDAE22DB00}"/>
            </a:ext>
            <a:ext uri="{147F2762-F138-4A5C-976F-8EAC2B608ADB}">
              <a16:predDERef xmlns:a16="http://schemas.microsoft.com/office/drawing/2014/main" pred="{75143A8D-1D3A-4590-917A-BBD232FBD3D7}"/>
            </a:ext>
          </a:extLst>
        </xdr:cNvPr>
        <xdr:cNvCxnSpPr>
          <a:cxnSpLocks/>
          <a:stCxn id="32" idx="2"/>
          <a:endCxn id="35" idx="0"/>
          <a:extLst>
            <a:ext uri="{5F17804C-33F3-41E3-A699-7DCFA2EF7971}">
              <a16:cxnDERefs xmlns:a16="http://schemas.microsoft.com/office/drawing/2014/main" st="{2A2EE9CF-2CBA-4A2F-AB95-7A898E6148F4}" end="{EA502FCE-A668-4587-BFAB-51B0FC7DFE18}"/>
            </a:ext>
          </a:extLst>
        </xdr:cNvCxnSpPr>
      </xdr:nvCxnSpPr>
      <xdr:spPr>
        <a:xfrm>
          <a:off x="6357938" y="13468350"/>
          <a:ext cx="4762" cy="2762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2000250</xdr:colOff>
      <xdr:row>30</xdr:row>
      <xdr:rowOff>176213</xdr:rowOff>
    </xdr:from>
    <xdr:to>
      <xdr:col>3</xdr:col>
      <xdr:colOff>123825</xdr:colOff>
      <xdr:row>30</xdr:row>
      <xdr:rowOff>176213</xdr:rowOff>
    </xdr:to>
    <xdr:cxnSp macro="">
      <xdr:nvCxnSpPr>
        <xdr:cNvPr id="39" name="Conector Reto 39">
          <a:extLst>
            <a:ext uri="{FF2B5EF4-FFF2-40B4-BE49-F238E27FC236}">
              <a16:creationId xmlns:a16="http://schemas.microsoft.com/office/drawing/2014/main" id="{AC6B84DB-AAA4-401F-A6B4-F7214CB30DFF}"/>
            </a:ext>
            <a:ext uri="{147F2762-F138-4A5C-976F-8EAC2B608ADB}">
              <a16:predDERef xmlns:a16="http://schemas.microsoft.com/office/drawing/2014/main" pred="{3C9D5D9D-206D-4835-9B3E-CBDDAE22DB00}"/>
            </a:ext>
          </a:extLst>
        </xdr:cNvPr>
        <xdr:cNvCxnSpPr>
          <a:cxnSpLocks/>
          <a:stCxn id="35" idx="1"/>
          <a:endCxn id="36" idx="6"/>
          <a:extLst>
            <a:ext uri="{5F17804C-33F3-41E3-A699-7DCFA2EF7971}">
              <a16:cxnDERefs xmlns:a16="http://schemas.microsoft.com/office/drawing/2014/main" st="{EA502FCE-A668-4587-BFAB-51B0FC7DFE18}" end="{E2C6B10E-8486-4A3C-AF96-74E572F38BE9}"/>
            </a:ext>
          </a:extLst>
        </xdr:cNvCxnSpPr>
      </xdr:nvCxnSpPr>
      <xdr:spPr>
        <a:xfrm flipH="1">
          <a:off x="4162425" y="6900863"/>
          <a:ext cx="247650" cy="0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</xdr:row>
      <xdr:rowOff>171450</xdr:rowOff>
    </xdr:from>
    <xdr:to>
      <xdr:col>13</xdr:col>
      <xdr:colOff>561975</xdr:colOff>
      <xdr:row>24</xdr:row>
      <xdr:rowOff>171450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EC30804-6828-5534-5B94-986203224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33</xdr:row>
      <xdr:rowOff>0</xdr:rowOff>
    </xdr:from>
    <xdr:to>
      <xdr:col>10</xdr:col>
      <xdr:colOff>152400</xdr:colOff>
      <xdr:row>53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2F0F00-D94E-2803-0D34-5E083B7BB00B}"/>
            </a:ext>
            <a:ext uri="{147F2762-F138-4A5C-976F-8EAC2B608ADB}">
              <a16:predDERef xmlns:a16="http://schemas.microsoft.com/office/drawing/2014/main" pred="{20AA99A7-0F62-9215-4A9E-8594F2F4D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390525</xdr:colOff>
      <xdr:row>33</xdr:row>
      <xdr:rowOff>9525</xdr:rowOff>
    </xdr:from>
    <xdr:to>
      <xdr:col>15</xdr:col>
      <xdr:colOff>561975</xdr:colOff>
      <xdr:row>53</xdr:row>
      <xdr:rowOff>104775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58EBF6C-C697-5754-5E8C-1ABB30CC477C}"/>
            </a:ext>
            <a:ext uri="{147F2762-F138-4A5C-976F-8EAC2B608ADB}">
              <a16:predDERef xmlns:a16="http://schemas.microsoft.com/office/drawing/2014/main" pred="{942F0F00-D94E-2803-0D34-5E083B7BB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32</xdr:row>
      <xdr:rowOff>152400</xdr:rowOff>
    </xdr:from>
    <xdr:to>
      <xdr:col>5</xdr:col>
      <xdr:colOff>9525</xdr:colOff>
      <xdr:row>53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EB571E-613B-D6D0-5B87-09CD9C44E649}"/>
            </a:ext>
            <a:ext uri="{147F2762-F138-4A5C-976F-8EAC2B608ADB}">
              <a16:predDERef xmlns:a16="http://schemas.microsoft.com/office/drawing/2014/main" pred="{758EBF6C-C697-5754-5E8C-1ABB30CC4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123825</xdr:colOff>
      <xdr:row>0</xdr:row>
      <xdr:rowOff>0</xdr:rowOff>
    </xdr:from>
    <xdr:to>
      <xdr:col>32</xdr:col>
      <xdr:colOff>381000</xdr:colOff>
      <xdr:row>24</xdr:row>
      <xdr:rowOff>152400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86C00E-77F8-A8D3-A867-64A2812F4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104775</xdr:colOff>
      <xdr:row>25</xdr:row>
      <xdr:rowOff>38100</xdr:rowOff>
    </xdr:from>
    <xdr:to>
      <xdr:col>32</xdr:col>
      <xdr:colOff>371475</xdr:colOff>
      <xdr:row>50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265774-ADF5-D6F1-CA67-FAEBE4BB824D}"/>
            </a:ext>
            <a:ext uri="{147F2762-F138-4A5C-976F-8EAC2B608ADB}">
              <a16:predDERef xmlns:a16="http://schemas.microsoft.com/office/drawing/2014/main" pred="{7E86C00E-77F8-A8D3-A867-64A2812F4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695325</xdr:colOff>
      <xdr:row>16</xdr:row>
      <xdr:rowOff>19050</xdr:rowOff>
    </xdr:from>
    <xdr:to>
      <xdr:col>8</xdr:col>
      <xdr:colOff>9525</xdr:colOff>
      <xdr:row>43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B0A542-87DD-4991-93D3-96BF96F10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133350</xdr:rowOff>
    </xdr:from>
    <xdr:to>
      <xdr:col>6</xdr:col>
      <xdr:colOff>590550</xdr:colOff>
      <xdr:row>23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021BCD-D4B9-4F46-2AEA-DFE1123AD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628650</xdr:colOff>
      <xdr:row>14</xdr:row>
      <xdr:rowOff>133350</xdr:rowOff>
    </xdr:from>
    <xdr:to>
      <xdr:col>12</xdr:col>
      <xdr:colOff>19050</xdr:colOff>
      <xdr:row>23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4E8A5E-26E6-214E-F202-678CB626D139}"/>
            </a:ext>
            <a:ext uri="{147F2762-F138-4A5C-976F-8EAC2B608ADB}">
              <a16:predDERef xmlns:a16="http://schemas.microsoft.com/office/drawing/2014/main" pred="{34021BCD-D4B9-4F46-2AEA-DFE1123AD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0</xdr:row>
      <xdr:rowOff>0</xdr:rowOff>
    </xdr:from>
    <xdr:to>
      <xdr:col>18</xdr:col>
      <xdr:colOff>581025</xdr:colOff>
      <xdr:row>32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5BC325-13E6-C4E0-918F-28B94A6DD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16</xdr:row>
      <xdr:rowOff>9525</xdr:rowOff>
    </xdr:from>
    <xdr:to>
      <xdr:col>6</xdr:col>
      <xdr:colOff>19050</xdr:colOff>
      <xdr:row>33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A3B623C-1EFE-2490-A3A5-039BE6743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123825</xdr:colOff>
      <xdr:row>16</xdr:row>
      <xdr:rowOff>19050</xdr:rowOff>
    </xdr:from>
    <xdr:to>
      <xdr:col>11</xdr:col>
      <xdr:colOff>161925</xdr:colOff>
      <xdr:row>33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6302549-5820-4CD4-80D2-782C058973AD}"/>
            </a:ext>
            <a:ext uri="{147F2762-F138-4A5C-976F-8EAC2B608ADB}">
              <a16:predDERef xmlns:a16="http://schemas.microsoft.com/office/drawing/2014/main" pred="{5A3B623C-1EFE-2490-A3A5-039BE6743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247650</xdr:colOff>
      <xdr:row>16</xdr:row>
      <xdr:rowOff>0</xdr:rowOff>
    </xdr:from>
    <xdr:to>
      <xdr:col>18</xdr:col>
      <xdr:colOff>476250</xdr:colOff>
      <xdr:row>33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26FEF7-4E16-4CDB-B8A6-5137A56C3629}"/>
            </a:ext>
            <a:ext uri="{147F2762-F138-4A5C-976F-8EAC2B608ADB}">
              <a16:predDERef xmlns:a16="http://schemas.microsoft.com/office/drawing/2014/main" pred="{B6302549-5820-4CD4-80D2-782C05897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590550</xdr:colOff>
      <xdr:row>16</xdr:row>
      <xdr:rowOff>0</xdr:rowOff>
    </xdr:from>
    <xdr:to>
      <xdr:col>25</xdr:col>
      <xdr:colOff>47625</xdr:colOff>
      <xdr:row>33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8158689-95F8-EB19-9B13-95D866B411DA}"/>
            </a:ext>
            <a:ext uri="{147F2762-F138-4A5C-976F-8EAC2B608ADB}">
              <a16:predDERef xmlns:a16="http://schemas.microsoft.com/office/drawing/2014/main" pred="{2526FEF7-4E16-4CDB-B8A6-5137A56C3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762000</xdr:colOff>
      <xdr:row>34</xdr:row>
      <xdr:rowOff>133350</xdr:rowOff>
    </xdr:from>
    <xdr:to>
      <xdr:col>18</xdr:col>
      <xdr:colOff>542925</xdr:colOff>
      <xdr:row>60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118B323-753D-1869-333A-BCF370EF290D}"/>
            </a:ext>
            <a:ext uri="{147F2762-F138-4A5C-976F-8EAC2B608ADB}">
              <a16:predDERef xmlns:a16="http://schemas.microsoft.com/office/drawing/2014/main" pred="{58158689-95F8-EB19-9B13-95D866B41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0</xdr:row>
      <xdr:rowOff>0</xdr:rowOff>
    </xdr:from>
    <xdr:to>
      <xdr:col>17</xdr:col>
      <xdr:colOff>9525</xdr:colOff>
      <xdr:row>18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0BEE49-673C-918D-A776-77C295AD0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0</xdr:row>
      <xdr:rowOff>0</xdr:rowOff>
    </xdr:from>
    <xdr:to>
      <xdr:col>8</xdr:col>
      <xdr:colOff>876300</xdr:colOff>
      <xdr:row>5</xdr:row>
      <xdr:rowOff>466725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9E4870-64E2-0061-5C82-42915716D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5</xdr:row>
      <xdr:rowOff>552450</xdr:rowOff>
    </xdr:from>
    <xdr:to>
      <xdr:col>8</xdr:col>
      <xdr:colOff>876300</xdr:colOff>
      <xdr:row>18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FFFEDB5-6CDD-AA2A-8B4D-FA4D1F431F6F}"/>
            </a:ext>
            <a:ext uri="{147F2762-F138-4A5C-976F-8EAC2B608ADB}">
              <a16:predDERef xmlns:a16="http://schemas.microsoft.com/office/drawing/2014/main" pred="{3F9E4870-64E2-0061-5C82-42915716D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1924050</xdr:colOff>
      <xdr:row>0</xdr:row>
      <xdr:rowOff>0</xdr:rowOff>
    </xdr:from>
    <xdr:to>
      <xdr:col>16</xdr:col>
      <xdr:colOff>1409700</xdr:colOff>
      <xdr:row>5</xdr:row>
      <xdr:rowOff>466725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28E483-52FF-D726-4288-963EAADB70F2}"/>
            </a:ext>
            <a:ext uri="{147F2762-F138-4A5C-976F-8EAC2B608ADB}">
              <a16:predDERef xmlns:a16="http://schemas.microsoft.com/office/drawing/2014/main" pred="{2FFFEDB5-6CDD-AA2A-8B4D-FA4D1F431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1933575</xdr:colOff>
      <xdr:row>5</xdr:row>
      <xdr:rowOff>600075</xdr:rowOff>
    </xdr:from>
    <xdr:to>
      <xdr:col>16</xdr:col>
      <xdr:colOff>1400175</xdr:colOff>
      <xdr:row>18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6121E6-DED6-EF25-3BC6-6A0EA4E11C4F}"/>
            </a:ext>
            <a:ext uri="{147F2762-F138-4A5C-976F-8EAC2B608ADB}">
              <a16:predDERef xmlns:a16="http://schemas.microsoft.com/office/drawing/2014/main" pred="{6F28E483-52FF-D726-4288-963EAADB7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971550</xdr:colOff>
      <xdr:row>0</xdr:row>
      <xdr:rowOff>0</xdr:rowOff>
    </xdr:from>
    <xdr:to>
      <xdr:col>12</xdr:col>
      <xdr:colOff>1828800</xdr:colOff>
      <xdr:row>5</xdr:row>
      <xdr:rowOff>476250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9516B85-1569-2C87-5AFC-EDE570D45379}"/>
            </a:ext>
            <a:ext uri="{147F2762-F138-4A5C-976F-8EAC2B608ADB}">
              <a16:predDERef xmlns:a16="http://schemas.microsoft.com/office/drawing/2014/main" pred="{566121E6-DED6-EF25-3BC6-6A0EA4E11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990600</xdr:colOff>
      <xdr:row>5</xdr:row>
      <xdr:rowOff>581025</xdr:rowOff>
    </xdr:from>
    <xdr:to>
      <xdr:col>12</xdr:col>
      <xdr:colOff>1828800</xdr:colOff>
      <xdr:row>18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AB57EFA-A387-0213-A3F1-D137C44567BB}"/>
            </a:ext>
            <a:ext uri="{147F2762-F138-4A5C-976F-8EAC2B608ADB}">
              <a16:predDERef xmlns:a16="http://schemas.microsoft.com/office/drawing/2014/main" pred="{89516B85-1569-2C87-5AFC-EDE570D45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1504950</xdr:colOff>
      <xdr:row>0</xdr:row>
      <xdr:rowOff>0</xdr:rowOff>
    </xdr:from>
    <xdr:to>
      <xdr:col>22</xdr:col>
      <xdr:colOff>219075</xdr:colOff>
      <xdr:row>5</xdr:row>
      <xdr:rowOff>447675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70CF2FE-C084-810A-AA87-87B1B17B15DB}"/>
            </a:ext>
            <a:ext uri="{147F2762-F138-4A5C-976F-8EAC2B608ADB}">
              <a16:predDERef xmlns:a16="http://schemas.microsoft.com/office/drawing/2014/main" pred="{5AB57EFA-A387-0213-A3F1-D137C4456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1524000</xdr:colOff>
      <xdr:row>5</xdr:row>
      <xdr:rowOff>600075</xdr:rowOff>
    </xdr:from>
    <xdr:to>
      <xdr:col>22</xdr:col>
      <xdr:colOff>200025</xdr:colOff>
      <xdr:row>18</xdr:row>
      <xdr:rowOff>28575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3A7042F-673F-E530-6495-D71668E02FBF}"/>
            </a:ext>
            <a:ext uri="{147F2762-F138-4A5C-976F-8EAC2B608ADB}">
              <a16:predDERef xmlns:a16="http://schemas.microsoft.com/office/drawing/2014/main" pred="{B70CF2FE-C084-810A-AA87-87B1B17B1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8</xdr:row>
      <xdr:rowOff>104775</xdr:rowOff>
    </xdr:from>
    <xdr:to>
      <xdr:col>4</xdr:col>
      <xdr:colOff>228600</xdr:colOff>
      <xdr:row>47</xdr:row>
      <xdr:rowOff>142875</xdr:rowOff>
    </xdr:to>
    <xdr:pic>
      <xdr:nvPicPr>
        <xdr:cNvPr id="12" name="Imagem 11" descr="Picture">
          <a:extLst>
            <a:ext uri="{FF2B5EF4-FFF2-40B4-BE49-F238E27FC236}">
              <a16:creationId xmlns:a16="http://schemas.microsoft.com/office/drawing/2014/main" id="{C19FBA63-6FC0-439F-8EBE-02205A3D4A2B}"/>
            </a:ext>
            <a:ext uri="{147F2762-F138-4A5C-976F-8EAC2B608ADB}">
              <a16:predDERef xmlns:a16="http://schemas.microsoft.com/office/drawing/2014/main" pred="{73A7042F-673F-E530-6495-D71668E02FBF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6677025"/>
          <a:ext cx="15887700" cy="7239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9.548244907404" createdVersion="8" refreshedVersion="8" minRefreshableVersion="3" recordCount="269" xr:uid="{BF6F0D11-5C82-4919-ACD2-A3FFABC6CA95}">
  <cacheSource type="worksheet">
    <worksheetSource name="Interesse_digital"/>
  </cacheSource>
  <cacheFields count="9">
    <cacheField name="Time" numFmtId="14">
      <sharedItems containsSemiMixedTypes="0" containsNonDate="0" containsDate="1" containsString="0" minDate="2004-01-01T00:00:00" maxDate="2026-05-02T00:00:00"/>
    </cacheField>
    <cacheField name="hotel 'ro'" numFmtId="0">
      <sharedItems containsSemiMixedTypes="0" containsString="0" containsNumber="1" containsInteger="1" minValue="0" maxValue="16"/>
    </cacheField>
    <cacheField name="hotel 'cf'" numFmtId="0">
      <sharedItems containsSemiMixedTypes="0" containsString="0" containsNumber="1" containsInteger="1" minValue="0" maxValue="69"/>
    </cacheField>
    <cacheField name="pousada 'ro'" numFmtId="0">
      <sharedItems containsSemiMixedTypes="0" containsString="0" containsNumber="1" containsInteger="1" minValue="0" maxValue="31"/>
    </cacheField>
    <cacheField name="pousada 'cf'" numFmtId="0">
      <sharedItems containsSemiMixedTypes="0" containsString="0" containsNumber="1" containsInteger="1" minValue="0" maxValue="100"/>
    </cacheField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04" maxValue="2026" count="23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Demanda RO" numFmtId="0">
      <sharedItems containsSemiMixedTypes="0" containsString="0" containsNumber="1" containsInteger="1" minValue="0" maxValue="46"/>
    </cacheField>
    <cacheField name="Demanda CF" numFmtId="0">
      <sharedItems containsSemiMixedTypes="0" containsString="0" containsNumber="1" containsInteger="1" minValue="0" maxValue="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9">
  <r>
    <d v="2004-01-01T00:00:00"/>
    <n v="0"/>
    <n v="27"/>
    <n v="0"/>
    <n v="36"/>
    <x v="0"/>
    <x v="0"/>
    <n v="0"/>
    <n v="63"/>
  </r>
  <r>
    <d v="2004-02-01T00:00:00"/>
    <n v="16"/>
    <n v="22"/>
    <n v="0"/>
    <n v="20"/>
    <x v="1"/>
    <x v="0"/>
    <n v="16"/>
    <n v="42"/>
  </r>
  <r>
    <d v="2004-03-01T00:00:00"/>
    <n v="0"/>
    <n v="0"/>
    <n v="0"/>
    <n v="0"/>
    <x v="2"/>
    <x v="0"/>
    <n v="0"/>
    <n v="0"/>
  </r>
  <r>
    <d v="2004-04-01T00:00:00"/>
    <n v="0"/>
    <n v="21"/>
    <n v="0"/>
    <n v="0"/>
    <x v="3"/>
    <x v="0"/>
    <n v="0"/>
    <n v="21"/>
  </r>
  <r>
    <d v="2004-05-01T00:00:00"/>
    <n v="0"/>
    <n v="0"/>
    <n v="0"/>
    <n v="0"/>
    <x v="4"/>
    <x v="0"/>
    <n v="0"/>
    <n v="0"/>
  </r>
  <r>
    <d v="2004-06-01T00:00:00"/>
    <n v="0"/>
    <n v="12"/>
    <n v="0"/>
    <n v="16"/>
    <x v="5"/>
    <x v="0"/>
    <n v="0"/>
    <n v="28"/>
  </r>
  <r>
    <d v="2004-07-01T00:00:00"/>
    <n v="0"/>
    <n v="15"/>
    <n v="0"/>
    <n v="0"/>
    <x v="6"/>
    <x v="0"/>
    <n v="0"/>
    <n v="15"/>
  </r>
  <r>
    <d v="2004-08-01T00:00:00"/>
    <n v="0"/>
    <n v="0"/>
    <n v="0"/>
    <n v="12"/>
    <x v="7"/>
    <x v="0"/>
    <n v="0"/>
    <n v="12"/>
  </r>
  <r>
    <d v="2004-09-01T00:00:00"/>
    <n v="0"/>
    <n v="21"/>
    <n v="0"/>
    <n v="23"/>
    <x v="8"/>
    <x v="0"/>
    <n v="0"/>
    <n v="44"/>
  </r>
  <r>
    <d v="2004-10-01T00:00:00"/>
    <n v="0"/>
    <n v="18"/>
    <n v="0"/>
    <n v="22"/>
    <x v="9"/>
    <x v="0"/>
    <n v="0"/>
    <n v="40"/>
  </r>
  <r>
    <d v="2004-11-01T00:00:00"/>
    <n v="0"/>
    <n v="22"/>
    <n v="0"/>
    <n v="18"/>
    <x v="10"/>
    <x v="0"/>
    <n v="0"/>
    <n v="40"/>
  </r>
  <r>
    <d v="2004-12-01T00:00:00"/>
    <n v="0"/>
    <n v="34"/>
    <n v="14"/>
    <n v="38"/>
    <x v="11"/>
    <x v="0"/>
    <n v="14"/>
    <n v="72"/>
  </r>
  <r>
    <d v="2005-01-01T00:00:00"/>
    <n v="9"/>
    <n v="32"/>
    <n v="10"/>
    <n v="48"/>
    <x v="0"/>
    <x v="1"/>
    <n v="19"/>
    <n v="80"/>
  </r>
  <r>
    <d v="2005-02-01T00:00:00"/>
    <n v="0"/>
    <n v="16"/>
    <n v="0"/>
    <n v="22"/>
    <x v="1"/>
    <x v="1"/>
    <n v="0"/>
    <n v="38"/>
  </r>
  <r>
    <d v="2005-03-01T00:00:00"/>
    <n v="0"/>
    <n v="20"/>
    <n v="0"/>
    <n v="0"/>
    <x v="2"/>
    <x v="1"/>
    <n v="0"/>
    <n v="20"/>
  </r>
  <r>
    <d v="2005-04-01T00:00:00"/>
    <n v="0"/>
    <n v="0"/>
    <n v="0"/>
    <n v="0"/>
    <x v="3"/>
    <x v="1"/>
    <n v="0"/>
    <n v="0"/>
  </r>
  <r>
    <d v="2005-05-01T00:00:00"/>
    <n v="0"/>
    <n v="0"/>
    <n v="7"/>
    <n v="0"/>
    <x v="4"/>
    <x v="1"/>
    <n v="7"/>
    <n v="0"/>
  </r>
  <r>
    <d v="2005-06-01T00:00:00"/>
    <n v="0"/>
    <n v="0"/>
    <n v="0"/>
    <n v="10"/>
    <x v="5"/>
    <x v="1"/>
    <n v="0"/>
    <n v="10"/>
  </r>
  <r>
    <d v="2005-07-01T00:00:00"/>
    <n v="0"/>
    <n v="14"/>
    <n v="0"/>
    <n v="14"/>
    <x v="6"/>
    <x v="1"/>
    <n v="0"/>
    <n v="28"/>
  </r>
  <r>
    <d v="2005-08-01T00:00:00"/>
    <n v="0"/>
    <n v="12"/>
    <n v="0"/>
    <n v="15"/>
    <x v="7"/>
    <x v="1"/>
    <n v="0"/>
    <n v="27"/>
  </r>
  <r>
    <d v="2005-09-01T00:00:00"/>
    <n v="0"/>
    <n v="10"/>
    <n v="0"/>
    <n v="10"/>
    <x v="8"/>
    <x v="1"/>
    <n v="0"/>
    <n v="20"/>
  </r>
  <r>
    <d v="2005-10-01T00:00:00"/>
    <n v="6"/>
    <n v="21"/>
    <n v="7"/>
    <n v="28"/>
    <x v="9"/>
    <x v="1"/>
    <n v="13"/>
    <n v="49"/>
  </r>
  <r>
    <d v="2005-11-01T00:00:00"/>
    <n v="0"/>
    <n v="29"/>
    <n v="12"/>
    <n v="28"/>
    <x v="10"/>
    <x v="1"/>
    <n v="12"/>
    <n v="57"/>
  </r>
  <r>
    <d v="2005-12-01T00:00:00"/>
    <n v="0"/>
    <n v="29"/>
    <n v="13"/>
    <n v="38"/>
    <x v="11"/>
    <x v="1"/>
    <n v="13"/>
    <n v="67"/>
  </r>
  <r>
    <d v="2006-01-01T00:00:00"/>
    <n v="8"/>
    <n v="43"/>
    <n v="21"/>
    <n v="58"/>
    <x v="0"/>
    <x v="2"/>
    <n v="29"/>
    <n v="101"/>
  </r>
  <r>
    <d v="2006-02-01T00:00:00"/>
    <n v="0"/>
    <n v="16"/>
    <n v="12"/>
    <n v="27"/>
    <x v="1"/>
    <x v="2"/>
    <n v="12"/>
    <n v="43"/>
  </r>
  <r>
    <d v="2006-03-01T00:00:00"/>
    <n v="5"/>
    <n v="10"/>
    <n v="7"/>
    <n v="18"/>
    <x v="2"/>
    <x v="2"/>
    <n v="12"/>
    <n v="28"/>
  </r>
  <r>
    <d v="2006-04-01T00:00:00"/>
    <n v="0"/>
    <n v="8"/>
    <n v="0"/>
    <n v="11"/>
    <x v="3"/>
    <x v="2"/>
    <n v="0"/>
    <n v="19"/>
  </r>
  <r>
    <d v="2006-05-01T00:00:00"/>
    <n v="0"/>
    <n v="8"/>
    <n v="6"/>
    <n v="10"/>
    <x v="4"/>
    <x v="2"/>
    <n v="6"/>
    <n v="18"/>
  </r>
  <r>
    <d v="2006-06-01T00:00:00"/>
    <n v="0"/>
    <n v="8"/>
    <n v="6"/>
    <n v="7"/>
    <x v="5"/>
    <x v="2"/>
    <n v="6"/>
    <n v="15"/>
  </r>
  <r>
    <d v="2006-07-01T00:00:00"/>
    <n v="0"/>
    <n v="17"/>
    <n v="0"/>
    <n v="22"/>
    <x v="6"/>
    <x v="2"/>
    <n v="0"/>
    <n v="39"/>
  </r>
  <r>
    <d v="2006-08-01T00:00:00"/>
    <n v="0"/>
    <n v="16"/>
    <n v="8"/>
    <n v="17"/>
    <x v="7"/>
    <x v="2"/>
    <n v="8"/>
    <n v="33"/>
  </r>
  <r>
    <d v="2006-09-01T00:00:00"/>
    <n v="0"/>
    <n v="20"/>
    <n v="8"/>
    <n v="25"/>
    <x v="8"/>
    <x v="2"/>
    <n v="8"/>
    <n v="45"/>
  </r>
  <r>
    <d v="2006-10-01T00:00:00"/>
    <n v="0"/>
    <n v="20"/>
    <n v="8"/>
    <n v="22"/>
    <x v="9"/>
    <x v="2"/>
    <n v="8"/>
    <n v="42"/>
  </r>
  <r>
    <d v="2006-11-01T00:00:00"/>
    <n v="5"/>
    <n v="29"/>
    <n v="10"/>
    <n v="37"/>
    <x v="10"/>
    <x v="2"/>
    <n v="15"/>
    <n v="66"/>
  </r>
  <r>
    <d v="2006-12-01T00:00:00"/>
    <n v="8"/>
    <n v="35"/>
    <n v="15"/>
    <n v="57"/>
    <x v="11"/>
    <x v="2"/>
    <n v="23"/>
    <n v="92"/>
  </r>
  <r>
    <d v="2007-01-01T00:00:00"/>
    <n v="12"/>
    <n v="36"/>
    <n v="19"/>
    <n v="54"/>
    <x v="0"/>
    <x v="3"/>
    <n v="31"/>
    <n v="90"/>
  </r>
  <r>
    <d v="2007-02-01T00:00:00"/>
    <n v="5"/>
    <n v="22"/>
    <n v="10"/>
    <n v="30"/>
    <x v="1"/>
    <x v="3"/>
    <n v="15"/>
    <n v="52"/>
  </r>
  <r>
    <d v="2007-03-01T00:00:00"/>
    <n v="4"/>
    <n v="20"/>
    <n v="9"/>
    <n v="22"/>
    <x v="2"/>
    <x v="3"/>
    <n v="13"/>
    <n v="42"/>
  </r>
  <r>
    <d v="2007-04-01T00:00:00"/>
    <n v="5"/>
    <n v="13"/>
    <n v="6"/>
    <n v="18"/>
    <x v="3"/>
    <x v="3"/>
    <n v="11"/>
    <n v="31"/>
  </r>
  <r>
    <d v="2007-05-01T00:00:00"/>
    <n v="3"/>
    <n v="5"/>
    <n v="5"/>
    <n v="7"/>
    <x v="4"/>
    <x v="3"/>
    <n v="8"/>
    <n v="12"/>
  </r>
  <r>
    <d v="2007-06-01T00:00:00"/>
    <n v="4"/>
    <n v="9"/>
    <n v="6"/>
    <n v="11"/>
    <x v="5"/>
    <x v="3"/>
    <n v="10"/>
    <n v="20"/>
  </r>
  <r>
    <d v="2007-07-01T00:00:00"/>
    <n v="3"/>
    <n v="14"/>
    <n v="6"/>
    <n v="17"/>
    <x v="6"/>
    <x v="3"/>
    <n v="9"/>
    <n v="31"/>
  </r>
  <r>
    <d v="2007-08-01T00:00:00"/>
    <n v="3"/>
    <n v="16"/>
    <n v="7"/>
    <n v="18"/>
    <x v="7"/>
    <x v="3"/>
    <n v="10"/>
    <n v="34"/>
  </r>
  <r>
    <d v="2007-09-01T00:00:00"/>
    <n v="4"/>
    <n v="23"/>
    <n v="9"/>
    <n v="29"/>
    <x v="8"/>
    <x v="3"/>
    <n v="13"/>
    <n v="52"/>
  </r>
  <r>
    <d v="2007-10-01T00:00:00"/>
    <n v="6"/>
    <n v="29"/>
    <n v="12"/>
    <n v="38"/>
    <x v="9"/>
    <x v="3"/>
    <n v="18"/>
    <n v="67"/>
  </r>
  <r>
    <d v="2007-11-01T00:00:00"/>
    <n v="8"/>
    <n v="30"/>
    <n v="11"/>
    <n v="35"/>
    <x v="10"/>
    <x v="3"/>
    <n v="19"/>
    <n v="65"/>
  </r>
  <r>
    <d v="2007-12-01T00:00:00"/>
    <n v="9"/>
    <n v="48"/>
    <n v="16"/>
    <n v="59"/>
    <x v="11"/>
    <x v="3"/>
    <n v="25"/>
    <n v="107"/>
  </r>
  <r>
    <d v="2008-01-01T00:00:00"/>
    <n v="11"/>
    <n v="49"/>
    <n v="26"/>
    <n v="70"/>
    <x v="0"/>
    <x v="4"/>
    <n v="37"/>
    <n v="119"/>
  </r>
  <r>
    <d v="2008-02-01T00:00:00"/>
    <n v="5"/>
    <n v="20"/>
    <n v="9"/>
    <n v="27"/>
    <x v="1"/>
    <x v="4"/>
    <n v="14"/>
    <n v="47"/>
  </r>
  <r>
    <d v="2008-03-01T00:00:00"/>
    <n v="5"/>
    <n v="18"/>
    <n v="9"/>
    <n v="24"/>
    <x v="2"/>
    <x v="4"/>
    <n v="14"/>
    <n v="42"/>
  </r>
  <r>
    <d v="2008-04-01T00:00:00"/>
    <n v="5"/>
    <n v="12"/>
    <n v="8"/>
    <n v="15"/>
    <x v="3"/>
    <x v="4"/>
    <n v="13"/>
    <n v="27"/>
  </r>
  <r>
    <d v="2008-05-01T00:00:00"/>
    <n v="4"/>
    <n v="11"/>
    <n v="8"/>
    <n v="12"/>
    <x v="4"/>
    <x v="4"/>
    <n v="12"/>
    <n v="23"/>
  </r>
  <r>
    <d v="2008-06-01T00:00:00"/>
    <n v="5"/>
    <n v="10"/>
    <n v="11"/>
    <n v="12"/>
    <x v="5"/>
    <x v="4"/>
    <n v="16"/>
    <n v="22"/>
  </r>
  <r>
    <d v="2008-07-01T00:00:00"/>
    <n v="4"/>
    <n v="18"/>
    <n v="10"/>
    <n v="23"/>
    <x v="6"/>
    <x v="4"/>
    <n v="14"/>
    <n v="41"/>
  </r>
  <r>
    <d v="2008-08-01T00:00:00"/>
    <n v="6"/>
    <n v="15"/>
    <n v="7"/>
    <n v="23"/>
    <x v="7"/>
    <x v="4"/>
    <n v="13"/>
    <n v="38"/>
  </r>
  <r>
    <d v="2008-09-01T00:00:00"/>
    <n v="4"/>
    <n v="20"/>
    <n v="9"/>
    <n v="29"/>
    <x v="8"/>
    <x v="4"/>
    <n v="13"/>
    <n v="49"/>
  </r>
  <r>
    <d v="2008-10-01T00:00:00"/>
    <n v="5"/>
    <n v="32"/>
    <n v="11"/>
    <n v="43"/>
    <x v="9"/>
    <x v="4"/>
    <n v="16"/>
    <n v="75"/>
  </r>
  <r>
    <d v="2008-11-01T00:00:00"/>
    <n v="6"/>
    <n v="36"/>
    <n v="14"/>
    <n v="51"/>
    <x v="10"/>
    <x v="4"/>
    <n v="20"/>
    <n v="87"/>
  </r>
  <r>
    <d v="2008-12-01T00:00:00"/>
    <n v="7"/>
    <n v="45"/>
    <n v="18"/>
    <n v="61"/>
    <x v="11"/>
    <x v="4"/>
    <n v="25"/>
    <n v="106"/>
  </r>
  <r>
    <d v="2009-01-01T00:00:00"/>
    <n v="13"/>
    <n v="64"/>
    <n v="31"/>
    <n v="85"/>
    <x v="0"/>
    <x v="5"/>
    <n v="44"/>
    <n v="149"/>
  </r>
  <r>
    <d v="2009-02-01T00:00:00"/>
    <n v="8"/>
    <n v="35"/>
    <n v="17"/>
    <n v="49"/>
    <x v="1"/>
    <x v="5"/>
    <n v="25"/>
    <n v="84"/>
  </r>
  <r>
    <d v="2009-03-01T00:00:00"/>
    <n v="6"/>
    <n v="26"/>
    <n v="12"/>
    <n v="39"/>
    <x v="2"/>
    <x v="5"/>
    <n v="18"/>
    <n v="65"/>
  </r>
  <r>
    <d v="2009-04-01T00:00:00"/>
    <n v="4"/>
    <n v="19"/>
    <n v="10"/>
    <n v="25"/>
    <x v="3"/>
    <x v="5"/>
    <n v="14"/>
    <n v="44"/>
  </r>
  <r>
    <d v="2009-05-01T00:00:00"/>
    <n v="7"/>
    <n v="12"/>
    <n v="7"/>
    <n v="21"/>
    <x v="4"/>
    <x v="5"/>
    <n v="14"/>
    <n v="33"/>
  </r>
  <r>
    <d v="2009-06-01T00:00:00"/>
    <n v="7"/>
    <n v="14"/>
    <n v="11"/>
    <n v="20"/>
    <x v="5"/>
    <x v="5"/>
    <n v="18"/>
    <n v="34"/>
  </r>
  <r>
    <d v="2009-07-01T00:00:00"/>
    <n v="4"/>
    <n v="21"/>
    <n v="9"/>
    <n v="28"/>
    <x v="6"/>
    <x v="5"/>
    <n v="13"/>
    <n v="49"/>
  </r>
  <r>
    <d v="2009-08-01T00:00:00"/>
    <n v="6"/>
    <n v="26"/>
    <n v="11"/>
    <n v="32"/>
    <x v="7"/>
    <x v="5"/>
    <n v="17"/>
    <n v="58"/>
  </r>
  <r>
    <d v="2009-09-01T00:00:00"/>
    <n v="6"/>
    <n v="34"/>
    <n v="10"/>
    <n v="39"/>
    <x v="8"/>
    <x v="5"/>
    <n v="16"/>
    <n v="73"/>
  </r>
  <r>
    <d v="2009-10-01T00:00:00"/>
    <n v="7"/>
    <n v="42"/>
    <n v="17"/>
    <n v="54"/>
    <x v="9"/>
    <x v="5"/>
    <n v="24"/>
    <n v="96"/>
  </r>
  <r>
    <d v="2009-11-01T00:00:00"/>
    <n v="11"/>
    <n v="53"/>
    <n v="18"/>
    <n v="68"/>
    <x v="10"/>
    <x v="5"/>
    <n v="29"/>
    <n v="121"/>
  </r>
  <r>
    <d v="2009-12-01T00:00:00"/>
    <n v="13"/>
    <n v="55"/>
    <n v="22"/>
    <n v="80"/>
    <x v="11"/>
    <x v="5"/>
    <n v="35"/>
    <n v="135"/>
  </r>
  <r>
    <d v="2010-01-01T00:00:00"/>
    <n v="15"/>
    <n v="69"/>
    <n v="31"/>
    <n v="100"/>
    <x v="0"/>
    <x v="6"/>
    <n v="46"/>
    <n v="169"/>
  </r>
  <r>
    <d v="2010-02-01T00:00:00"/>
    <n v="10"/>
    <n v="34"/>
    <n v="18"/>
    <n v="48"/>
    <x v="1"/>
    <x v="6"/>
    <n v="28"/>
    <n v="82"/>
  </r>
  <r>
    <d v="2010-03-01T00:00:00"/>
    <n v="4"/>
    <n v="24"/>
    <n v="12"/>
    <n v="35"/>
    <x v="2"/>
    <x v="6"/>
    <n v="16"/>
    <n v="59"/>
  </r>
  <r>
    <d v="2010-04-01T00:00:00"/>
    <n v="5"/>
    <n v="18"/>
    <n v="8"/>
    <n v="26"/>
    <x v="3"/>
    <x v="6"/>
    <n v="13"/>
    <n v="44"/>
  </r>
  <r>
    <d v="2010-05-01T00:00:00"/>
    <n v="5"/>
    <n v="14"/>
    <n v="9"/>
    <n v="20"/>
    <x v="4"/>
    <x v="6"/>
    <n v="14"/>
    <n v="34"/>
  </r>
  <r>
    <d v="2010-06-01T00:00:00"/>
    <n v="4"/>
    <n v="11"/>
    <n v="8"/>
    <n v="15"/>
    <x v="5"/>
    <x v="6"/>
    <n v="12"/>
    <n v="26"/>
  </r>
  <r>
    <d v="2010-07-01T00:00:00"/>
    <n v="4"/>
    <n v="22"/>
    <n v="7"/>
    <n v="29"/>
    <x v="6"/>
    <x v="6"/>
    <n v="11"/>
    <n v="51"/>
  </r>
  <r>
    <d v="2010-08-01T00:00:00"/>
    <n v="4"/>
    <n v="24"/>
    <n v="9"/>
    <n v="31"/>
    <x v="7"/>
    <x v="6"/>
    <n v="13"/>
    <n v="55"/>
  </r>
  <r>
    <d v="2010-09-01T00:00:00"/>
    <n v="8"/>
    <n v="26"/>
    <n v="10"/>
    <n v="34"/>
    <x v="8"/>
    <x v="6"/>
    <n v="18"/>
    <n v="60"/>
  </r>
  <r>
    <d v="2010-10-01T00:00:00"/>
    <n v="8"/>
    <n v="33"/>
    <n v="12"/>
    <n v="39"/>
    <x v="9"/>
    <x v="6"/>
    <n v="20"/>
    <n v="72"/>
  </r>
  <r>
    <d v="2010-11-01T00:00:00"/>
    <n v="7"/>
    <n v="37"/>
    <n v="16"/>
    <n v="54"/>
    <x v="10"/>
    <x v="6"/>
    <n v="23"/>
    <n v="91"/>
  </r>
  <r>
    <d v="2010-12-01T00:00:00"/>
    <n v="11"/>
    <n v="45"/>
    <n v="21"/>
    <n v="63"/>
    <x v="11"/>
    <x v="6"/>
    <n v="32"/>
    <n v="108"/>
  </r>
  <r>
    <d v="2011-01-01T00:00:00"/>
    <n v="13"/>
    <n v="54"/>
    <n v="27"/>
    <n v="81"/>
    <x v="0"/>
    <x v="7"/>
    <n v="40"/>
    <n v="135"/>
  </r>
  <r>
    <d v="2011-02-01T00:00:00"/>
    <n v="10"/>
    <n v="40"/>
    <n v="19"/>
    <n v="56"/>
    <x v="1"/>
    <x v="7"/>
    <n v="29"/>
    <n v="96"/>
  </r>
  <r>
    <d v="2011-03-01T00:00:00"/>
    <n v="6"/>
    <n v="24"/>
    <n v="13"/>
    <n v="34"/>
    <x v="2"/>
    <x v="7"/>
    <n v="19"/>
    <n v="58"/>
  </r>
  <r>
    <d v="2011-04-01T00:00:00"/>
    <n v="6"/>
    <n v="21"/>
    <n v="10"/>
    <n v="31"/>
    <x v="3"/>
    <x v="7"/>
    <n v="16"/>
    <n v="52"/>
  </r>
  <r>
    <d v="2011-05-01T00:00:00"/>
    <n v="5"/>
    <n v="16"/>
    <n v="8"/>
    <n v="19"/>
    <x v="4"/>
    <x v="7"/>
    <n v="13"/>
    <n v="35"/>
  </r>
  <r>
    <d v="2011-06-01T00:00:00"/>
    <n v="6"/>
    <n v="15"/>
    <n v="10"/>
    <n v="17"/>
    <x v="5"/>
    <x v="7"/>
    <n v="16"/>
    <n v="32"/>
  </r>
  <r>
    <d v="2011-07-01T00:00:00"/>
    <n v="6"/>
    <n v="19"/>
    <n v="9"/>
    <n v="26"/>
    <x v="6"/>
    <x v="7"/>
    <n v="15"/>
    <n v="45"/>
  </r>
  <r>
    <d v="2011-08-01T00:00:00"/>
    <n v="6"/>
    <n v="21"/>
    <n v="10"/>
    <n v="28"/>
    <x v="7"/>
    <x v="7"/>
    <n v="16"/>
    <n v="49"/>
  </r>
  <r>
    <d v="2011-09-01T00:00:00"/>
    <n v="6"/>
    <n v="24"/>
    <n v="10"/>
    <n v="31"/>
    <x v="8"/>
    <x v="7"/>
    <n v="16"/>
    <n v="55"/>
  </r>
  <r>
    <d v="2011-10-01T00:00:00"/>
    <n v="6"/>
    <n v="29"/>
    <n v="12"/>
    <n v="37"/>
    <x v="9"/>
    <x v="7"/>
    <n v="18"/>
    <n v="66"/>
  </r>
  <r>
    <d v="2011-11-01T00:00:00"/>
    <n v="8"/>
    <n v="33"/>
    <n v="13"/>
    <n v="46"/>
    <x v="10"/>
    <x v="7"/>
    <n v="21"/>
    <n v="79"/>
  </r>
  <r>
    <d v="2011-12-01T00:00:00"/>
    <n v="7"/>
    <n v="40"/>
    <n v="14"/>
    <n v="51"/>
    <x v="11"/>
    <x v="7"/>
    <n v="21"/>
    <n v="91"/>
  </r>
  <r>
    <d v="2012-01-01T00:00:00"/>
    <n v="10"/>
    <n v="52"/>
    <n v="23"/>
    <n v="74"/>
    <x v="0"/>
    <x v="8"/>
    <n v="33"/>
    <n v="126"/>
  </r>
  <r>
    <d v="2012-02-01T00:00:00"/>
    <n v="8"/>
    <n v="32"/>
    <n v="18"/>
    <n v="43"/>
    <x v="1"/>
    <x v="8"/>
    <n v="26"/>
    <n v="75"/>
  </r>
  <r>
    <d v="2012-03-01T00:00:00"/>
    <n v="9"/>
    <n v="27"/>
    <n v="18"/>
    <n v="32"/>
    <x v="2"/>
    <x v="8"/>
    <n v="27"/>
    <n v="59"/>
  </r>
  <r>
    <d v="2012-04-01T00:00:00"/>
    <n v="7"/>
    <n v="19"/>
    <n v="15"/>
    <n v="23"/>
    <x v="3"/>
    <x v="8"/>
    <n v="22"/>
    <n v="42"/>
  </r>
  <r>
    <d v="2012-05-01T00:00:00"/>
    <n v="4"/>
    <n v="13"/>
    <n v="7"/>
    <n v="13"/>
    <x v="4"/>
    <x v="8"/>
    <n v="11"/>
    <n v="26"/>
  </r>
  <r>
    <d v="2012-06-01T00:00:00"/>
    <n v="4"/>
    <n v="15"/>
    <n v="8"/>
    <n v="18"/>
    <x v="5"/>
    <x v="8"/>
    <n v="12"/>
    <n v="33"/>
  </r>
  <r>
    <d v="2012-07-01T00:00:00"/>
    <n v="5"/>
    <n v="20"/>
    <n v="8"/>
    <n v="26"/>
    <x v="6"/>
    <x v="8"/>
    <n v="13"/>
    <n v="46"/>
  </r>
  <r>
    <d v="2012-08-01T00:00:00"/>
    <n v="5"/>
    <n v="23"/>
    <n v="13"/>
    <n v="30"/>
    <x v="7"/>
    <x v="8"/>
    <n v="18"/>
    <n v="53"/>
  </r>
  <r>
    <d v="2012-09-01T00:00:00"/>
    <n v="5"/>
    <n v="29"/>
    <n v="13"/>
    <n v="36"/>
    <x v="8"/>
    <x v="8"/>
    <n v="18"/>
    <n v="65"/>
  </r>
  <r>
    <d v="2012-10-01T00:00:00"/>
    <n v="7"/>
    <n v="35"/>
    <n v="14"/>
    <n v="44"/>
    <x v="9"/>
    <x v="8"/>
    <n v="21"/>
    <n v="79"/>
  </r>
  <r>
    <d v="2012-11-01T00:00:00"/>
    <n v="7"/>
    <n v="30"/>
    <n v="15"/>
    <n v="41"/>
    <x v="10"/>
    <x v="8"/>
    <n v="22"/>
    <n v="71"/>
  </r>
  <r>
    <d v="2012-12-01T00:00:00"/>
    <n v="8"/>
    <n v="41"/>
    <n v="17"/>
    <n v="52"/>
    <x v="11"/>
    <x v="8"/>
    <n v="25"/>
    <n v="93"/>
  </r>
  <r>
    <d v="2013-01-01T00:00:00"/>
    <n v="9"/>
    <n v="46"/>
    <n v="19"/>
    <n v="63"/>
    <x v="0"/>
    <x v="9"/>
    <n v="28"/>
    <n v="109"/>
  </r>
  <r>
    <d v="2013-02-01T00:00:00"/>
    <n v="7"/>
    <n v="28"/>
    <n v="13"/>
    <n v="36"/>
    <x v="1"/>
    <x v="9"/>
    <n v="20"/>
    <n v="64"/>
  </r>
  <r>
    <d v="2013-03-01T00:00:00"/>
    <n v="5"/>
    <n v="21"/>
    <n v="11"/>
    <n v="31"/>
    <x v="2"/>
    <x v="9"/>
    <n v="16"/>
    <n v="52"/>
  </r>
  <r>
    <d v="2013-04-01T00:00:00"/>
    <n v="5"/>
    <n v="15"/>
    <n v="9"/>
    <n v="20"/>
    <x v="3"/>
    <x v="9"/>
    <n v="14"/>
    <n v="35"/>
  </r>
  <r>
    <d v="2013-05-01T00:00:00"/>
    <n v="6"/>
    <n v="15"/>
    <n v="10"/>
    <n v="17"/>
    <x v="4"/>
    <x v="9"/>
    <n v="16"/>
    <n v="32"/>
  </r>
  <r>
    <d v="2013-06-01T00:00:00"/>
    <n v="4"/>
    <n v="12"/>
    <n v="8"/>
    <n v="16"/>
    <x v="5"/>
    <x v="9"/>
    <n v="12"/>
    <n v="28"/>
  </r>
  <r>
    <d v="2013-07-01T00:00:00"/>
    <n v="6"/>
    <n v="23"/>
    <n v="10"/>
    <n v="27"/>
    <x v="6"/>
    <x v="9"/>
    <n v="16"/>
    <n v="50"/>
  </r>
  <r>
    <d v="2013-08-01T00:00:00"/>
    <n v="6"/>
    <n v="23"/>
    <n v="9"/>
    <n v="28"/>
    <x v="7"/>
    <x v="9"/>
    <n v="15"/>
    <n v="51"/>
  </r>
  <r>
    <d v="2013-09-01T00:00:00"/>
    <n v="6"/>
    <n v="28"/>
    <n v="10"/>
    <n v="36"/>
    <x v="8"/>
    <x v="9"/>
    <n v="16"/>
    <n v="64"/>
  </r>
  <r>
    <d v="2013-10-01T00:00:00"/>
    <n v="6"/>
    <n v="33"/>
    <n v="12"/>
    <n v="42"/>
    <x v="9"/>
    <x v="9"/>
    <n v="18"/>
    <n v="75"/>
  </r>
  <r>
    <d v="2013-11-01T00:00:00"/>
    <n v="8"/>
    <n v="39"/>
    <n v="15"/>
    <n v="54"/>
    <x v="10"/>
    <x v="9"/>
    <n v="23"/>
    <n v="93"/>
  </r>
  <r>
    <d v="2013-12-01T00:00:00"/>
    <n v="7"/>
    <n v="40"/>
    <n v="15"/>
    <n v="54"/>
    <x v="11"/>
    <x v="9"/>
    <n v="22"/>
    <n v="94"/>
  </r>
  <r>
    <d v="2014-01-01T00:00:00"/>
    <n v="12"/>
    <n v="64"/>
    <n v="26"/>
    <n v="84"/>
    <x v="0"/>
    <x v="10"/>
    <n v="38"/>
    <n v="148"/>
  </r>
  <r>
    <d v="2014-02-01T00:00:00"/>
    <n v="7"/>
    <n v="30"/>
    <n v="15"/>
    <n v="44"/>
    <x v="1"/>
    <x v="10"/>
    <n v="22"/>
    <n v="74"/>
  </r>
  <r>
    <d v="2014-03-01T00:00:00"/>
    <n v="6"/>
    <n v="27"/>
    <n v="13"/>
    <n v="35"/>
    <x v="2"/>
    <x v="10"/>
    <n v="19"/>
    <n v="62"/>
  </r>
  <r>
    <d v="2014-04-01T00:00:00"/>
    <n v="5"/>
    <n v="19"/>
    <n v="10"/>
    <n v="22"/>
    <x v="3"/>
    <x v="10"/>
    <n v="15"/>
    <n v="41"/>
  </r>
  <r>
    <d v="2014-05-01T00:00:00"/>
    <n v="4"/>
    <n v="12"/>
    <n v="6"/>
    <n v="16"/>
    <x v="4"/>
    <x v="10"/>
    <n v="10"/>
    <n v="28"/>
  </r>
  <r>
    <d v="2014-06-01T00:00:00"/>
    <n v="4"/>
    <n v="15"/>
    <n v="8"/>
    <n v="17"/>
    <x v="5"/>
    <x v="10"/>
    <n v="12"/>
    <n v="32"/>
  </r>
  <r>
    <d v="2014-07-01T00:00:00"/>
    <n v="5"/>
    <n v="20"/>
    <n v="9"/>
    <n v="22"/>
    <x v="6"/>
    <x v="10"/>
    <n v="14"/>
    <n v="42"/>
  </r>
  <r>
    <d v="2014-08-01T00:00:00"/>
    <n v="7"/>
    <n v="22"/>
    <n v="11"/>
    <n v="29"/>
    <x v="7"/>
    <x v="10"/>
    <n v="18"/>
    <n v="51"/>
  </r>
  <r>
    <d v="2014-09-01T00:00:00"/>
    <n v="6"/>
    <n v="28"/>
    <n v="11"/>
    <n v="39"/>
    <x v="8"/>
    <x v="10"/>
    <n v="17"/>
    <n v="67"/>
  </r>
  <r>
    <d v="2014-10-01T00:00:00"/>
    <n v="7"/>
    <n v="40"/>
    <n v="13"/>
    <n v="52"/>
    <x v="9"/>
    <x v="10"/>
    <n v="20"/>
    <n v="92"/>
  </r>
  <r>
    <d v="2014-11-01T00:00:00"/>
    <n v="8"/>
    <n v="40"/>
    <n v="15"/>
    <n v="52"/>
    <x v="10"/>
    <x v="10"/>
    <n v="23"/>
    <n v="92"/>
  </r>
  <r>
    <d v="2014-12-01T00:00:00"/>
    <n v="11"/>
    <n v="48"/>
    <n v="19"/>
    <n v="66"/>
    <x v="11"/>
    <x v="10"/>
    <n v="30"/>
    <n v="114"/>
  </r>
  <r>
    <d v="2015-01-01T00:00:00"/>
    <n v="13"/>
    <n v="60"/>
    <n v="27"/>
    <n v="84"/>
    <x v="0"/>
    <x v="11"/>
    <n v="40"/>
    <n v="144"/>
  </r>
  <r>
    <d v="2015-02-01T00:00:00"/>
    <n v="6"/>
    <n v="31"/>
    <n v="11"/>
    <n v="39"/>
    <x v="1"/>
    <x v="11"/>
    <n v="17"/>
    <n v="70"/>
  </r>
  <r>
    <d v="2015-03-01T00:00:00"/>
    <n v="5"/>
    <n v="26"/>
    <n v="11"/>
    <n v="31"/>
    <x v="2"/>
    <x v="11"/>
    <n v="16"/>
    <n v="57"/>
  </r>
  <r>
    <d v="2015-04-01T00:00:00"/>
    <n v="4"/>
    <n v="21"/>
    <n v="8"/>
    <n v="25"/>
    <x v="3"/>
    <x v="11"/>
    <n v="12"/>
    <n v="46"/>
  </r>
  <r>
    <d v="2015-05-01T00:00:00"/>
    <n v="3"/>
    <n v="15"/>
    <n v="5"/>
    <n v="17"/>
    <x v="4"/>
    <x v="11"/>
    <n v="8"/>
    <n v="32"/>
  </r>
  <r>
    <d v="2015-06-01T00:00:00"/>
    <n v="4"/>
    <n v="17"/>
    <n v="7"/>
    <n v="18"/>
    <x v="5"/>
    <x v="11"/>
    <n v="11"/>
    <n v="35"/>
  </r>
  <r>
    <d v="2015-07-01T00:00:00"/>
    <n v="4"/>
    <n v="25"/>
    <n v="9"/>
    <n v="34"/>
    <x v="6"/>
    <x v="11"/>
    <n v="13"/>
    <n v="59"/>
  </r>
  <r>
    <d v="2015-08-01T00:00:00"/>
    <n v="5"/>
    <n v="28"/>
    <n v="11"/>
    <n v="39"/>
    <x v="7"/>
    <x v="11"/>
    <n v="16"/>
    <n v="67"/>
  </r>
  <r>
    <d v="2015-09-01T00:00:00"/>
    <n v="5"/>
    <n v="34"/>
    <n v="10"/>
    <n v="45"/>
    <x v="8"/>
    <x v="11"/>
    <n v="15"/>
    <n v="79"/>
  </r>
  <r>
    <d v="2015-10-01T00:00:00"/>
    <n v="6"/>
    <n v="43"/>
    <n v="13"/>
    <n v="57"/>
    <x v="9"/>
    <x v="11"/>
    <n v="19"/>
    <n v="100"/>
  </r>
  <r>
    <d v="2015-11-01T00:00:00"/>
    <n v="6"/>
    <n v="40"/>
    <n v="13"/>
    <n v="47"/>
    <x v="10"/>
    <x v="11"/>
    <n v="19"/>
    <n v="87"/>
  </r>
  <r>
    <d v="2015-12-01T00:00:00"/>
    <n v="7"/>
    <n v="49"/>
    <n v="16"/>
    <n v="62"/>
    <x v="11"/>
    <x v="11"/>
    <n v="23"/>
    <n v="111"/>
  </r>
  <r>
    <d v="2016-01-01T00:00:00"/>
    <n v="7"/>
    <n v="52"/>
    <n v="18"/>
    <n v="71"/>
    <x v="0"/>
    <x v="12"/>
    <n v="25"/>
    <n v="123"/>
  </r>
  <r>
    <d v="2016-02-01T00:00:00"/>
    <n v="5"/>
    <n v="32"/>
    <n v="9"/>
    <n v="41"/>
    <x v="1"/>
    <x v="12"/>
    <n v="14"/>
    <n v="73"/>
  </r>
  <r>
    <d v="2016-03-01T00:00:00"/>
    <n v="3"/>
    <n v="22"/>
    <n v="8"/>
    <n v="29"/>
    <x v="2"/>
    <x v="12"/>
    <n v="11"/>
    <n v="51"/>
  </r>
  <r>
    <d v="2016-04-01T00:00:00"/>
    <n v="3"/>
    <n v="26"/>
    <n v="8"/>
    <n v="30"/>
    <x v="3"/>
    <x v="12"/>
    <n v="11"/>
    <n v="56"/>
  </r>
  <r>
    <d v="2016-05-01T00:00:00"/>
    <n v="3"/>
    <n v="15"/>
    <n v="4"/>
    <n v="16"/>
    <x v="4"/>
    <x v="12"/>
    <n v="7"/>
    <n v="31"/>
  </r>
  <r>
    <d v="2016-06-01T00:00:00"/>
    <n v="2"/>
    <n v="14"/>
    <n v="4"/>
    <n v="14"/>
    <x v="5"/>
    <x v="12"/>
    <n v="6"/>
    <n v="28"/>
  </r>
  <r>
    <d v="2016-07-01T00:00:00"/>
    <n v="3"/>
    <n v="20"/>
    <n v="6"/>
    <n v="23"/>
    <x v="6"/>
    <x v="12"/>
    <n v="9"/>
    <n v="43"/>
  </r>
  <r>
    <d v="2016-08-01T00:00:00"/>
    <n v="3"/>
    <n v="23"/>
    <n v="7"/>
    <n v="29"/>
    <x v="7"/>
    <x v="12"/>
    <n v="10"/>
    <n v="52"/>
  </r>
  <r>
    <d v="2016-09-01T00:00:00"/>
    <n v="4"/>
    <n v="32"/>
    <n v="7"/>
    <n v="46"/>
    <x v="8"/>
    <x v="12"/>
    <n v="11"/>
    <n v="78"/>
  </r>
  <r>
    <d v="2016-10-01T00:00:00"/>
    <n v="4"/>
    <n v="37"/>
    <n v="9"/>
    <n v="47"/>
    <x v="9"/>
    <x v="12"/>
    <n v="13"/>
    <n v="84"/>
  </r>
  <r>
    <d v="2016-11-01T00:00:00"/>
    <n v="4"/>
    <n v="36"/>
    <n v="10"/>
    <n v="41"/>
    <x v="10"/>
    <x v="12"/>
    <n v="14"/>
    <n v="77"/>
  </r>
  <r>
    <d v="2016-12-01T00:00:00"/>
    <n v="5"/>
    <n v="46"/>
    <n v="12"/>
    <n v="58"/>
    <x v="11"/>
    <x v="12"/>
    <n v="17"/>
    <n v="104"/>
  </r>
  <r>
    <d v="2017-01-01T00:00:00"/>
    <n v="6"/>
    <n v="68"/>
    <n v="17"/>
    <n v="88"/>
    <x v="0"/>
    <x v="13"/>
    <n v="23"/>
    <n v="156"/>
  </r>
  <r>
    <d v="2017-02-01T00:00:00"/>
    <n v="3"/>
    <n v="35"/>
    <n v="9"/>
    <n v="45"/>
    <x v="1"/>
    <x v="13"/>
    <n v="12"/>
    <n v="80"/>
  </r>
  <r>
    <d v="2017-03-01T00:00:00"/>
    <n v="3"/>
    <n v="33"/>
    <n v="8"/>
    <n v="38"/>
    <x v="2"/>
    <x v="13"/>
    <n v="11"/>
    <n v="71"/>
  </r>
  <r>
    <d v="2017-04-01T00:00:00"/>
    <n v="1"/>
    <n v="19"/>
    <n v="5"/>
    <n v="23"/>
    <x v="3"/>
    <x v="13"/>
    <n v="6"/>
    <n v="42"/>
  </r>
  <r>
    <d v="2017-05-01T00:00:00"/>
    <n v="2"/>
    <n v="16"/>
    <n v="4"/>
    <n v="16"/>
    <x v="4"/>
    <x v="13"/>
    <n v="6"/>
    <n v="32"/>
  </r>
  <r>
    <d v="2017-06-01T00:00:00"/>
    <n v="2"/>
    <n v="16"/>
    <n v="5"/>
    <n v="19"/>
    <x v="5"/>
    <x v="13"/>
    <n v="7"/>
    <n v="35"/>
  </r>
  <r>
    <d v="2017-07-01T00:00:00"/>
    <n v="2"/>
    <n v="21"/>
    <n v="5"/>
    <n v="25"/>
    <x v="6"/>
    <x v="13"/>
    <n v="7"/>
    <n v="46"/>
  </r>
  <r>
    <d v="2017-08-01T00:00:00"/>
    <n v="2"/>
    <n v="27"/>
    <n v="6"/>
    <n v="27"/>
    <x v="7"/>
    <x v="13"/>
    <n v="8"/>
    <n v="54"/>
  </r>
  <r>
    <d v="2017-09-01T00:00:00"/>
    <n v="3"/>
    <n v="36"/>
    <n v="8"/>
    <n v="41"/>
    <x v="8"/>
    <x v="13"/>
    <n v="11"/>
    <n v="77"/>
  </r>
  <r>
    <d v="2017-10-01T00:00:00"/>
    <n v="3"/>
    <n v="43"/>
    <n v="9"/>
    <n v="48"/>
    <x v="9"/>
    <x v="13"/>
    <n v="12"/>
    <n v="91"/>
  </r>
  <r>
    <d v="2017-11-01T00:00:00"/>
    <n v="3"/>
    <n v="37"/>
    <n v="9"/>
    <n v="45"/>
    <x v="10"/>
    <x v="13"/>
    <n v="12"/>
    <n v="82"/>
  </r>
  <r>
    <d v="2017-12-01T00:00:00"/>
    <n v="4"/>
    <n v="45"/>
    <n v="11"/>
    <n v="58"/>
    <x v="11"/>
    <x v="13"/>
    <n v="15"/>
    <n v="103"/>
  </r>
  <r>
    <d v="2018-01-01T00:00:00"/>
    <n v="7"/>
    <n v="67"/>
    <n v="18"/>
    <n v="80"/>
    <x v="0"/>
    <x v="14"/>
    <n v="25"/>
    <n v="147"/>
  </r>
  <r>
    <d v="2018-02-01T00:00:00"/>
    <n v="4"/>
    <n v="35"/>
    <n v="8"/>
    <n v="41"/>
    <x v="1"/>
    <x v="14"/>
    <n v="12"/>
    <n v="76"/>
  </r>
  <r>
    <d v="2018-03-01T00:00:00"/>
    <n v="4"/>
    <n v="31"/>
    <n v="8"/>
    <n v="36"/>
    <x v="2"/>
    <x v="14"/>
    <n v="12"/>
    <n v="67"/>
  </r>
  <r>
    <d v="2018-04-01T00:00:00"/>
    <n v="3"/>
    <n v="26"/>
    <n v="6"/>
    <n v="28"/>
    <x v="3"/>
    <x v="14"/>
    <n v="9"/>
    <n v="54"/>
  </r>
  <r>
    <d v="2018-05-01T00:00:00"/>
    <n v="2"/>
    <n v="16"/>
    <n v="5"/>
    <n v="17"/>
    <x v="4"/>
    <x v="14"/>
    <n v="7"/>
    <n v="33"/>
  </r>
  <r>
    <d v="2018-06-01T00:00:00"/>
    <n v="3"/>
    <n v="16"/>
    <n v="5"/>
    <n v="16"/>
    <x v="5"/>
    <x v="14"/>
    <n v="8"/>
    <n v="32"/>
  </r>
  <r>
    <d v="2018-07-01T00:00:00"/>
    <n v="4"/>
    <n v="28"/>
    <n v="8"/>
    <n v="30"/>
    <x v="6"/>
    <x v="14"/>
    <n v="12"/>
    <n v="58"/>
  </r>
  <r>
    <d v="2018-08-01T00:00:00"/>
    <n v="3"/>
    <n v="26"/>
    <n v="6"/>
    <n v="27"/>
    <x v="7"/>
    <x v="14"/>
    <n v="9"/>
    <n v="53"/>
  </r>
  <r>
    <d v="2018-09-01T00:00:00"/>
    <n v="3"/>
    <n v="34"/>
    <n v="8"/>
    <n v="38"/>
    <x v="8"/>
    <x v="14"/>
    <n v="11"/>
    <n v="72"/>
  </r>
  <r>
    <d v="2018-10-01T00:00:00"/>
    <n v="3"/>
    <n v="35"/>
    <n v="9"/>
    <n v="40"/>
    <x v="9"/>
    <x v="14"/>
    <n v="12"/>
    <n v="75"/>
  </r>
  <r>
    <d v="2018-11-01T00:00:00"/>
    <n v="3"/>
    <n v="40"/>
    <n v="10"/>
    <n v="48"/>
    <x v="10"/>
    <x v="14"/>
    <n v="13"/>
    <n v="88"/>
  </r>
  <r>
    <d v="2018-12-01T00:00:00"/>
    <n v="5"/>
    <n v="46"/>
    <n v="13"/>
    <n v="57"/>
    <x v="11"/>
    <x v="14"/>
    <n v="18"/>
    <n v="103"/>
  </r>
  <r>
    <d v="2019-01-01T00:00:00"/>
    <n v="7"/>
    <n v="60"/>
    <n v="20"/>
    <n v="79"/>
    <x v="0"/>
    <x v="15"/>
    <n v="27"/>
    <n v="139"/>
  </r>
  <r>
    <d v="2019-02-01T00:00:00"/>
    <n v="3"/>
    <n v="28"/>
    <n v="8"/>
    <n v="34"/>
    <x v="1"/>
    <x v="15"/>
    <n v="11"/>
    <n v="62"/>
  </r>
  <r>
    <d v="2019-03-01T00:00:00"/>
    <n v="3"/>
    <n v="26"/>
    <n v="9"/>
    <n v="34"/>
    <x v="2"/>
    <x v="15"/>
    <n v="12"/>
    <n v="60"/>
  </r>
  <r>
    <d v="2019-04-01T00:00:00"/>
    <n v="2"/>
    <n v="21"/>
    <n v="6"/>
    <n v="24"/>
    <x v="3"/>
    <x v="15"/>
    <n v="8"/>
    <n v="45"/>
  </r>
  <r>
    <d v="2019-05-01T00:00:00"/>
    <n v="2"/>
    <n v="17"/>
    <n v="5"/>
    <n v="20"/>
    <x v="4"/>
    <x v="15"/>
    <n v="7"/>
    <n v="37"/>
  </r>
  <r>
    <d v="2019-06-01T00:00:00"/>
    <n v="3"/>
    <n v="19"/>
    <n v="6"/>
    <n v="18"/>
    <x v="5"/>
    <x v="15"/>
    <n v="9"/>
    <n v="37"/>
  </r>
  <r>
    <d v="2019-07-01T00:00:00"/>
    <n v="3"/>
    <n v="24"/>
    <n v="6"/>
    <n v="24"/>
    <x v="6"/>
    <x v="15"/>
    <n v="9"/>
    <n v="48"/>
  </r>
  <r>
    <d v="2019-08-01T00:00:00"/>
    <n v="3"/>
    <n v="23"/>
    <n v="5"/>
    <n v="24"/>
    <x v="7"/>
    <x v="15"/>
    <n v="8"/>
    <n v="47"/>
  </r>
  <r>
    <d v="2019-09-01T00:00:00"/>
    <n v="4"/>
    <n v="32"/>
    <n v="8"/>
    <n v="35"/>
    <x v="8"/>
    <x v="15"/>
    <n v="12"/>
    <n v="67"/>
  </r>
  <r>
    <d v="2019-10-01T00:00:00"/>
    <n v="4"/>
    <n v="43"/>
    <n v="10"/>
    <n v="49"/>
    <x v="9"/>
    <x v="15"/>
    <n v="14"/>
    <n v="92"/>
  </r>
  <r>
    <d v="2019-11-01T00:00:00"/>
    <n v="4"/>
    <n v="39"/>
    <n v="10"/>
    <n v="43"/>
    <x v="10"/>
    <x v="15"/>
    <n v="14"/>
    <n v="82"/>
  </r>
  <r>
    <d v="2019-12-01T00:00:00"/>
    <n v="5"/>
    <n v="47"/>
    <n v="13"/>
    <n v="50"/>
    <x v="11"/>
    <x v="15"/>
    <n v="18"/>
    <n v="97"/>
  </r>
  <r>
    <d v="2020-01-01T00:00:00"/>
    <n v="7"/>
    <n v="62"/>
    <n v="19"/>
    <n v="62"/>
    <x v="0"/>
    <x v="16"/>
    <n v="26"/>
    <n v="124"/>
  </r>
  <r>
    <d v="2020-02-01T00:00:00"/>
    <n v="4"/>
    <n v="34"/>
    <n v="10"/>
    <n v="36"/>
    <x v="1"/>
    <x v="16"/>
    <n v="14"/>
    <n v="70"/>
  </r>
  <r>
    <d v="2020-03-01T00:00:00"/>
    <n v="1"/>
    <n v="17"/>
    <n v="4"/>
    <n v="18"/>
    <x v="2"/>
    <x v="16"/>
    <n v="5"/>
    <n v="35"/>
  </r>
  <r>
    <d v="2020-04-01T00:00:00"/>
    <n v="1"/>
    <n v="5"/>
    <n v="1"/>
    <n v="5"/>
    <x v="3"/>
    <x v="16"/>
    <n v="2"/>
    <n v="10"/>
  </r>
  <r>
    <d v="2020-05-01T00:00:00"/>
    <n v="1"/>
    <n v="5"/>
    <n v="2"/>
    <n v="5"/>
    <x v="4"/>
    <x v="16"/>
    <n v="3"/>
    <n v="10"/>
  </r>
  <r>
    <d v="2020-06-01T00:00:00"/>
    <n v="2"/>
    <n v="8"/>
    <n v="4"/>
    <n v="9"/>
    <x v="5"/>
    <x v="16"/>
    <n v="6"/>
    <n v="17"/>
  </r>
  <r>
    <d v="2020-07-01T00:00:00"/>
    <n v="2"/>
    <n v="11"/>
    <n v="5"/>
    <n v="14"/>
    <x v="6"/>
    <x v="16"/>
    <n v="7"/>
    <n v="25"/>
  </r>
  <r>
    <d v="2020-08-01T00:00:00"/>
    <n v="3"/>
    <n v="18"/>
    <n v="6"/>
    <n v="23"/>
    <x v="7"/>
    <x v="16"/>
    <n v="9"/>
    <n v="41"/>
  </r>
  <r>
    <d v="2020-09-01T00:00:00"/>
    <n v="4"/>
    <n v="35"/>
    <n v="11"/>
    <n v="41"/>
    <x v="8"/>
    <x v="16"/>
    <n v="15"/>
    <n v="76"/>
  </r>
  <r>
    <d v="2020-10-01T00:00:00"/>
    <n v="5"/>
    <n v="37"/>
    <n v="11"/>
    <n v="44"/>
    <x v="9"/>
    <x v="16"/>
    <n v="16"/>
    <n v="81"/>
  </r>
  <r>
    <d v="2020-11-01T00:00:00"/>
    <n v="4"/>
    <n v="31"/>
    <n v="8"/>
    <n v="34"/>
    <x v="10"/>
    <x v="16"/>
    <n v="12"/>
    <n v="65"/>
  </r>
  <r>
    <d v="2020-12-01T00:00:00"/>
    <n v="3"/>
    <n v="28"/>
    <n v="8"/>
    <n v="33"/>
    <x v="11"/>
    <x v="16"/>
    <n v="11"/>
    <n v="61"/>
  </r>
  <r>
    <d v="2021-01-01T00:00:00"/>
    <n v="5"/>
    <n v="40"/>
    <n v="13"/>
    <n v="46"/>
    <x v="0"/>
    <x v="17"/>
    <n v="18"/>
    <n v="86"/>
  </r>
  <r>
    <d v="2021-02-01T00:00:00"/>
    <n v="3"/>
    <n v="29"/>
    <n v="9"/>
    <n v="32"/>
    <x v="1"/>
    <x v="17"/>
    <n v="12"/>
    <n v="61"/>
  </r>
  <r>
    <d v="2021-03-01T00:00:00"/>
    <n v="2"/>
    <n v="17"/>
    <n v="5"/>
    <n v="18"/>
    <x v="2"/>
    <x v="17"/>
    <n v="7"/>
    <n v="35"/>
  </r>
  <r>
    <d v="2021-04-01T00:00:00"/>
    <n v="2"/>
    <n v="12"/>
    <n v="4"/>
    <n v="13"/>
    <x v="3"/>
    <x v="17"/>
    <n v="6"/>
    <n v="25"/>
  </r>
  <r>
    <d v="2021-05-01T00:00:00"/>
    <n v="3"/>
    <n v="14"/>
    <n v="5"/>
    <n v="15"/>
    <x v="4"/>
    <x v="17"/>
    <n v="8"/>
    <n v="29"/>
  </r>
  <r>
    <d v="2021-06-01T00:00:00"/>
    <n v="3"/>
    <n v="15"/>
    <n v="6"/>
    <n v="18"/>
    <x v="5"/>
    <x v="17"/>
    <n v="9"/>
    <n v="33"/>
  </r>
  <r>
    <d v="2021-07-01T00:00:00"/>
    <n v="3"/>
    <n v="20"/>
    <n v="6"/>
    <n v="20"/>
    <x v="6"/>
    <x v="17"/>
    <n v="9"/>
    <n v="40"/>
  </r>
  <r>
    <d v="2021-08-01T00:00:00"/>
    <n v="3"/>
    <n v="27"/>
    <n v="7"/>
    <n v="26"/>
    <x v="7"/>
    <x v="17"/>
    <n v="10"/>
    <n v="53"/>
  </r>
  <r>
    <d v="2021-09-01T00:00:00"/>
    <n v="3"/>
    <n v="34"/>
    <n v="8"/>
    <n v="34"/>
    <x v="8"/>
    <x v="17"/>
    <n v="11"/>
    <n v="68"/>
  </r>
  <r>
    <d v="2021-10-01T00:00:00"/>
    <n v="4"/>
    <n v="30"/>
    <n v="8"/>
    <n v="29"/>
    <x v="9"/>
    <x v="17"/>
    <n v="12"/>
    <n v="59"/>
  </r>
  <r>
    <d v="2021-11-01T00:00:00"/>
    <n v="4"/>
    <n v="31"/>
    <n v="8"/>
    <n v="30"/>
    <x v="10"/>
    <x v="17"/>
    <n v="12"/>
    <n v="61"/>
  </r>
  <r>
    <d v="2021-12-01T00:00:00"/>
    <n v="5"/>
    <n v="34"/>
    <n v="10"/>
    <n v="38"/>
    <x v="11"/>
    <x v="17"/>
    <n v="15"/>
    <n v="72"/>
  </r>
  <r>
    <d v="2022-01-01T00:00:00"/>
    <n v="6"/>
    <n v="47"/>
    <n v="12"/>
    <n v="48"/>
    <x v="0"/>
    <x v="18"/>
    <n v="18"/>
    <n v="95"/>
  </r>
  <r>
    <d v="2022-02-01T00:00:00"/>
    <n v="4"/>
    <n v="33"/>
    <n v="10"/>
    <n v="35"/>
    <x v="1"/>
    <x v="18"/>
    <n v="14"/>
    <n v="68"/>
  </r>
  <r>
    <d v="2022-03-01T00:00:00"/>
    <n v="6"/>
    <n v="36"/>
    <n v="12"/>
    <n v="38"/>
    <x v="2"/>
    <x v="18"/>
    <n v="18"/>
    <n v="74"/>
  </r>
  <r>
    <d v="2022-04-01T00:00:00"/>
    <n v="4"/>
    <n v="25"/>
    <n v="7"/>
    <n v="23"/>
    <x v="3"/>
    <x v="18"/>
    <n v="11"/>
    <n v="48"/>
  </r>
  <r>
    <d v="2022-05-01T00:00:00"/>
    <n v="3"/>
    <n v="15"/>
    <n v="5"/>
    <n v="15"/>
    <x v="4"/>
    <x v="18"/>
    <n v="8"/>
    <n v="30"/>
  </r>
  <r>
    <d v="2022-06-01T00:00:00"/>
    <n v="3"/>
    <n v="14"/>
    <n v="6"/>
    <n v="13"/>
    <x v="5"/>
    <x v="18"/>
    <n v="9"/>
    <n v="27"/>
  </r>
  <r>
    <d v="2022-07-01T00:00:00"/>
    <n v="4"/>
    <n v="24"/>
    <n v="7"/>
    <n v="23"/>
    <x v="6"/>
    <x v="18"/>
    <n v="11"/>
    <n v="47"/>
  </r>
  <r>
    <d v="2022-08-01T00:00:00"/>
    <n v="3"/>
    <n v="23"/>
    <n v="6"/>
    <n v="19"/>
    <x v="7"/>
    <x v="18"/>
    <n v="9"/>
    <n v="42"/>
  </r>
  <r>
    <d v="2022-09-01T00:00:00"/>
    <n v="3"/>
    <n v="25"/>
    <n v="6"/>
    <n v="22"/>
    <x v="8"/>
    <x v="18"/>
    <n v="9"/>
    <n v="47"/>
  </r>
  <r>
    <d v="2022-10-01T00:00:00"/>
    <n v="4"/>
    <n v="31"/>
    <n v="7"/>
    <n v="29"/>
    <x v="9"/>
    <x v="18"/>
    <n v="11"/>
    <n v="60"/>
  </r>
  <r>
    <d v="2022-11-01T00:00:00"/>
    <n v="4"/>
    <n v="29"/>
    <n v="8"/>
    <n v="29"/>
    <x v="10"/>
    <x v="18"/>
    <n v="12"/>
    <n v="58"/>
  </r>
  <r>
    <d v="2022-12-01T00:00:00"/>
    <n v="5"/>
    <n v="35"/>
    <n v="9"/>
    <n v="35"/>
    <x v="11"/>
    <x v="18"/>
    <n v="14"/>
    <n v="70"/>
  </r>
  <r>
    <d v="2023-01-01T00:00:00"/>
    <n v="6"/>
    <n v="47"/>
    <n v="17"/>
    <n v="51"/>
    <x v="0"/>
    <x v="19"/>
    <n v="23"/>
    <n v="98"/>
  </r>
  <r>
    <d v="2023-02-01T00:00:00"/>
    <n v="5"/>
    <n v="33"/>
    <n v="10"/>
    <n v="34"/>
    <x v="1"/>
    <x v="19"/>
    <n v="15"/>
    <n v="67"/>
  </r>
  <r>
    <d v="2023-03-01T00:00:00"/>
    <n v="5"/>
    <n v="29"/>
    <n v="9"/>
    <n v="29"/>
    <x v="2"/>
    <x v="19"/>
    <n v="14"/>
    <n v="58"/>
  </r>
  <r>
    <d v="2023-04-01T00:00:00"/>
    <n v="3"/>
    <n v="19"/>
    <n v="6"/>
    <n v="19"/>
    <x v="3"/>
    <x v="19"/>
    <n v="9"/>
    <n v="38"/>
  </r>
  <r>
    <d v="2023-05-01T00:00:00"/>
    <n v="3"/>
    <n v="14"/>
    <n v="5"/>
    <n v="13"/>
    <x v="4"/>
    <x v="19"/>
    <n v="8"/>
    <n v="27"/>
  </r>
  <r>
    <d v="2023-06-01T00:00:00"/>
    <n v="3"/>
    <n v="15"/>
    <n v="5"/>
    <n v="13"/>
    <x v="5"/>
    <x v="19"/>
    <n v="8"/>
    <n v="28"/>
  </r>
  <r>
    <d v="2023-07-01T00:00:00"/>
    <n v="3"/>
    <n v="18"/>
    <n v="5"/>
    <n v="17"/>
    <x v="6"/>
    <x v="19"/>
    <n v="8"/>
    <n v="35"/>
  </r>
  <r>
    <d v="2023-08-01T00:00:00"/>
    <n v="3"/>
    <n v="21"/>
    <n v="6"/>
    <n v="18"/>
    <x v="7"/>
    <x v="19"/>
    <n v="9"/>
    <n v="39"/>
  </r>
  <r>
    <d v="2023-09-01T00:00:00"/>
    <n v="4"/>
    <n v="26"/>
    <n v="7"/>
    <n v="25"/>
    <x v="8"/>
    <x v="19"/>
    <n v="11"/>
    <n v="51"/>
  </r>
  <r>
    <d v="2023-10-01T00:00:00"/>
    <n v="3"/>
    <n v="26"/>
    <n v="7"/>
    <n v="24"/>
    <x v="9"/>
    <x v="19"/>
    <n v="10"/>
    <n v="50"/>
  </r>
  <r>
    <d v="2023-11-01T00:00:00"/>
    <n v="4"/>
    <n v="30"/>
    <n v="8"/>
    <n v="28"/>
    <x v="10"/>
    <x v="19"/>
    <n v="12"/>
    <n v="58"/>
  </r>
  <r>
    <d v="2023-12-01T00:00:00"/>
    <n v="4"/>
    <n v="34"/>
    <n v="10"/>
    <n v="33"/>
    <x v="11"/>
    <x v="19"/>
    <n v="14"/>
    <n v="67"/>
  </r>
  <r>
    <d v="2024-01-01T00:00:00"/>
    <n v="6"/>
    <n v="41"/>
    <n v="12"/>
    <n v="42"/>
    <x v="0"/>
    <x v="20"/>
    <n v="18"/>
    <n v="83"/>
  </r>
  <r>
    <d v="2024-02-01T00:00:00"/>
    <n v="3"/>
    <n v="24"/>
    <n v="8"/>
    <n v="23"/>
    <x v="1"/>
    <x v="20"/>
    <n v="11"/>
    <n v="47"/>
  </r>
  <r>
    <d v="2024-03-01T00:00:00"/>
    <n v="3"/>
    <n v="21"/>
    <n v="7"/>
    <n v="20"/>
    <x v="2"/>
    <x v="20"/>
    <n v="10"/>
    <n v="41"/>
  </r>
  <r>
    <d v="2024-04-01T00:00:00"/>
    <n v="2"/>
    <n v="15"/>
    <n v="6"/>
    <n v="15"/>
    <x v="3"/>
    <x v="20"/>
    <n v="8"/>
    <n v="30"/>
  </r>
  <r>
    <d v="2024-05-01T00:00:00"/>
    <n v="3"/>
    <n v="17"/>
    <n v="6"/>
    <n v="14"/>
    <x v="4"/>
    <x v="20"/>
    <n v="9"/>
    <n v="31"/>
  </r>
  <r>
    <d v="2024-06-01T00:00:00"/>
    <n v="2"/>
    <n v="14"/>
    <n v="5"/>
    <n v="13"/>
    <x v="5"/>
    <x v="20"/>
    <n v="7"/>
    <n v="27"/>
  </r>
  <r>
    <d v="2024-07-01T00:00:00"/>
    <n v="3"/>
    <n v="18"/>
    <n v="5"/>
    <n v="16"/>
    <x v="6"/>
    <x v="20"/>
    <n v="8"/>
    <n v="34"/>
  </r>
  <r>
    <d v="2024-08-01T00:00:00"/>
    <n v="3"/>
    <n v="17"/>
    <n v="5"/>
    <n v="16"/>
    <x v="7"/>
    <x v="20"/>
    <n v="8"/>
    <n v="33"/>
  </r>
  <r>
    <d v="2024-09-01T00:00:00"/>
    <n v="3"/>
    <n v="22"/>
    <n v="6"/>
    <n v="21"/>
    <x v="8"/>
    <x v="20"/>
    <n v="9"/>
    <n v="43"/>
  </r>
  <r>
    <d v="2024-10-01T00:00:00"/>
    <n v="3"/>
    <n v="23"/>
    <n v="6"/>
    <n v="21"/>
    <x v="9"/>
    <x v="20"/>
    <n v="9"/>
    <n v="44"/>
  </r>
  <r>
    <d v="2024-11-01T00:00:00"/>
    <n v="3"/>
    <n v="22"/>
    <n v="7"/>
    <n v="22"/>
    <x v="10"/>
    <x v="20"/>
    <n v="10"/>
    <n v="44"/>
  </r>
  <r>
    <d v="2024-12-01T00:00:00"/>
    <n v="4"/>
    <n v="25"/>
    <n v="7"/>
    <n v="25"/>
    <x v="11"/>
    <x v="20"/>
    <n v="11"/>
    <n v="50"/>
  </r>
  <r>
    <d v="2025-01-01T00:00:00"/>
    <n v="4"/>
    <n v="35"/>
    <n v="10"/>
    <n v="35"/>
    <x v="0"/>
    <x v="21"/>
    <n v="14"/>
    <n v="70"/>
  </r>
  <r>
    <d v="2025-02-01T00:00:00"/>
    <n v="2"/>
    <n v="22"/>
    <n v="6"/>
    <n v="19"/>
    <x v="1"/>
    <x v="21"/>
    <n v="8"/>
    <n v="41"/>
  </r>
  <r>
    <d v="2025-03-01T00:00:00"/>
    <n v="3"/>
    <n v="18"/>
    <n v="5"/>
    <n v="18"/>
    <x v="2"/>
    <x v="21"/>
    <n v="8"/>
    <n v="36"/>
  </r>
  <r>
    <d v="2025-04-01T00:00:00"/>
    <n v="2"/>
    <n v="14"/>
    <n v="4"/>
    <n v="12"/>
    <x v="3"/>
    <x v="21"/>
    <n v="6"/>
    <n v="26"/>
  </r>
  <r>
    <d v="2025-05-01T00:00:00"/>
    <n v="2"/>
    <n v="10"/>
    <n v="4"/>
    <n v="9"/>
    <x v="4"/>
    <x v="21"/>
    <n v="6"/>
    <n v="19"/>
  </r>
  <r>
    <d v="2025-06-01T00:00:00"/>
    <n v="2"/>
    <n v="11"/>
    <n v="4"/>
    <n v="9"/>
    <x v="5"/>
    <x v="21"/>
    <n v="6"/>
    <n v="20"/>
  </r>
  <r>
    <d v="2025-07-01T00:00:00"/>
    <n v="3"/>
    <n v="13"/>
    <n v="5"/>
    <n v="11"/>
    <x v="6"/>
    <x v="21"/>
    <n v="8"/>
    <n v="24"/>
  </r>
  <r>
    <d v="2025-08-01T00:00:00"/>
    <n v="3"/>
    <n v="16"/>
    <n v="3"/>
    <n v="12"/>
    <x v="7"/>
    <x v="21"/>
    <n v="6"/>
    <n v="28"/>
  </r>
  <r>
    <d v="2025-09-01T00:00:00"/>
    <n v="4"/>
    <n v="20"/>
    <n v="5"/>
    <n v="15"/>
    <x v="8"/>
    <x v="21"/>
    <n v="9"/>
    <n v="35"/>
  </r>
  <r>
    <d v="2025-10-01T00:00:00"/>
    <n v="4"/>
    <n v="21"/>
    <n v="5"/>
    <n v="18"/>
    <x v="9"/>
    <x v="21"/>
    <n v="9"/>
    <n v="39"/>
  </r>
  <r>
    <d v="2025-11-01T00:00:00"/>
    <n v="5"/>
    <n v="21"/>
    <n v="6"/>
    <n v="19"/>
    <x v="10"/>
    <x v="21"/>
    <n v="11"/>
    <n v="40"/>
  </r>
  <r>
    <d v="2025-12-01T00:00:00"/>
    <n v="4"/>
    <n v="28"/>
    <n v="8"/>
    <n v="23"/>
    <x v="11"/>
    <x v="21"/>
    <n v="12"/>
    <n v="51"/>
  </r>
  <r>
    <d v="2026-01-01T00:00:00"/>
    <n v="5"/>
    <n v="33"/>
    <n v="9"/>
    <n v="30"/>
    <x v="0"/>
    <x v="22"/>
    <n v="14"/>
    <n v="63"/>
  </r>
  <r>
    <d v="2026-02-01T00:00:00"/>
    <n v="3"/>
    <n v="19"/>
    <n v="5"/>
    <n v="16"/>
    <x v="1"/>
    <x v="22"/>
    <n v="8"/>
    <n v="35"/>
  </r>
  <r>
    <d v="2026-03-01T00:00:00"/>
    <n v="4"/>
    <n v="20"/>
    <n v="5"/>
    <n v="17"/>
    <x v="2"/>
    <x v="22"/>
    <n v="9"/>
    <n v="37"/>
  </r>
  <r>
    <d v="2026-04-01T00:00:00"/>
    <n v="4"/>
    <n v="19"/>
    <n v="6"/>
    <n v="18"/>
    <x v="3"/>
    <x v="22"/>
    <n v="10"/>
    <n v="37"/>
  </r>
  <r>
    <d v="2026-05-01T00:00:00"/>
    <n v="3"/>
    <n v="15"/>
    <n v="4"/>
    <n v="14"/>
    <x v="4"/>
    <x v="22"/>
    <n v="7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C04E52-F66D-485C-840A-CED94B62B0E8}" name="interesse_anos" cacheId="10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5">
  <location ref="K15:M38" firstHeaderRow="0" firstDataRow="1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  <pivotField dataField="1" compact="0" outline="0" showAll="0"/>
  </pivotFields>
  <rowFields count="1">
    <field x="6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</rowItems>
  <colFields count="1">
    <field x="-2"/>
  </colFields>
  <colItems count="2">
    <i>
      <x/>
    </i>
    <i i="1">
      <x v="1"/>
    </i>
  </colItems>
  <dataFields count="2">
    <dataField name="Demanda CF / ano" fld="8" baseField="0" baseItem="0"/>
    <dataField name="Demanda RO / ano" fld="7" baseField="0" baseItem="0"/>
  </dataFields>
  <formats count="27">
    <format dxfId="196">
      <pivotArea field="6" type="button" dataOnly="0" labelOnly="1" outline="0" axis="axisRow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type="all" dataOnly="0" outline="0" fieldPosition="0"/>
    </format>
    <format dxfId="199">
      <pivotArea outline="0" collapsedLevelsAreSubtotals="1" fieldPosition="0"/>
    </format>
    <format dxfId="200">
      <pivotArea field="6" type="button" dataOnly="0" labelOnly="1" outline="0" axis="axisRow" fieldPosition="0"/>
    </format>
    <format dxfId="201">
      <pivotArea dataOnly="0" labelOnly="1" outline="0" fieldPosition="0">
        <references count="1">
          <reference field="6" count="0"/>
        </references>
      </pivotArea>
    </format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3">
      <pivotArea type="all" dataOnly="0" outline="0" fieldPosition="0"/>
    </format>
    <format dxfId="204">
      <pivotArea outline="0" collapsedLevelsAreSubtotals="1" fieldPosition="0"/>
    </format>
    <format dxfId="205">
      <pivotArea field="6" type="button" dataOnly="0" labelOnly="1" outline="0" axis="axisRow" fieldPosition="0"/>
    </format>
    <format dxfId="206">
      <pivotArea dataOnly="0" labelOnly="1" outline="0" fieldPosition="0">
        <references count="1">
          <reference field="6" count="0"/>
        </references>
      </pivotArea>
    </format>
    <format dxfId="2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8">
      <pivotArea type="all" dataOnly="0" outline="0" fieldPosition="0"/>
    </format>
    <format dxfId="209">
      <pivotArea outline="0" collapsedLevelsAreSubtotals="1" fieldPosition="0"/>
    </format>
    <format dxfId="210">
      <pivotArea field="6" type="button" dataOnly="0" labelOnly="1" outline="0" axis="axisRow" fieldPosition="0"/>
    </format>
    <format dxfId="211">
      <pivotArea dataOnly="0" labelOnly="1" outline="0" fieldPosition="0">
        <references count="1">
          <reference field="6" count="0"/>
        </references>
      </pivotArea>
    </format>
    <format dxfId="2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3">
      <pivotArea type="all" dataOnly="0" outline="0" fieldPosition="0"/>
    </format>
    <format dxfId="214">
      <pivotArea outline="0" collapsedLevelsAreSubtotals="1" fieldPosition="0"/>
    </format>
    <format dxfId="215">
      <pivotArea field="6" type="button" dataOnly="0" labelOnly="1" outline="0" axis="axisRow" fieldPosition="0"/>
    </format>
    <format dxfId="216">
      <pivotArea dataOnly="0" labelOnly="1" outline="0" fieldPosition="0">
        <references count="1">
          <reference field="6" count="0"/>
        </references>
      </pivotArea>
    </format>
    <format dxfId="2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8">
      <pivotArea type="all" dataOnly="0" outline="0" fieldPosition="0"/>
    </format>
    <format dxfId="219">
      <pivotArea outline="0" collapsedLevelsAreSubtotals="1" fieldPosition="0"/>
    </format>
    <format dxfId="220">
      <pivotArea field="6" type="button" dataOnly="0" labelOnly="1" outline="0" axis="axisRow" fieldPosition="0"/>
    </format>
    <format dxfId="221">
      <pivotArea dataOnly="0" labelOnly="1" outline="0" fieldPosition="0">
        <references count="1">
          <reference field="6" count="0"/>
        </references>
      </pivotArea>
    </format>
    <format dxfId="2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81AB1FA-FA3D-4D94-AA47-64EDABC004D3}" name="Tabela1324" displayName="Tabela1324" ref="B3:F8" totalsRowShown="0" headerRowDxfId="195" dataDxfId="194">
  <autoFilter ref="B3:F8" xr:uid="{D7BA0DD4-5E45-428D-B81C-99FD49D59BAF}"/>
  <tableColumns count="5">
    <tableColumn id="1" xr3:uid="{BFB56450-3209-45D6-A44C-3F43E089CA58}" name="Suppliers" dataDxfId="193"/>
    <tableColumn id="2" xr3:uid="{3CB4E142-0BAA-452F-A6E7-A4431993B11C}" name="Inputs" dataDxfId="192"/>
    <tableColumn id="3" xr3:uid="{465F4835-9B32-4532-B9A1-E8FC8DA6A41E}" name="Process" dataDxfId="191"/>
    <tableColumn id="4" xr3:uid="{A15215F1-4315-461B-9A70-AD344197C40D}" name="Outputs" dataDxfId="190"/>
    <tableColumn id="5" xr3:uid="{318A8775-8692-47F8-A07D-1C9C58FD71F3}" name="Customers" dataDxfId="1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FB410EF-4D3B-4A04-92D8-3BE63FEB2DF0}" name="Tabela1631" displayName="Tabela1631" ref="B11:E17" totalsRowShown="0" headerRowDxfId="188" dataDxfId="187" headerRowBorderDxfId="185" tableBorderDxfId="186" totalsRowBorderDxfId="184">
  <autoFilter ref="B11:E17" xr:uid="{88508120-70E8-43AE-BF8B-C1E77CF6B0A9}"/>
  <tableColumns count="4">
    <tableColumn id="1" xr3:uid="{E8BC2BB3-0BBE-446D-8F50-56D6167C5F09}" name="Produto" dataDxfId="183"/>
    <tableColumn id="2" xr3:uid="{AA3CDC8F-61EF-4531-A530-2D0C23BF16B0}" name="Direcionadores" dataDxfId="182"/>
    <tableColumn id="3" xr3:uid="{1BC3DD5F-36D0-4AB7-84F5-A9AC36B026C3}" name="Variável" dataDxfId="181"/>
    <tableColumn id="4" xr3:uid="{FD746C40-86B3-42C6-90E5-0FDDBE8535D8}" name="Indicadores" dataDxfId="18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CCCA8B-888A-4C2C-9CF8-952487B22AAE}" name="Tabela11" displayName="Tabela11" ref="B4:E25" totalsRowShown="0" headerRowDxfId="179" dataDxfId="178" tableBorderDxfId="177">
  <autoFilter ref="B4:E25" xr:uid="{50CCCA8B-888A-4C2C-9CF8-952487B22AAE}"/>
  <tableColumns count="4">
    <tableColumn id="1" xr3:uid="{8B8C3631-6CBA-456B-B5B2-6AD86C5BC402}" name="Ano" dataDxfId="176"/>
    <tableColumn id="2" xr3:uid="{3FC71D0F-730F-45E8-B241-EAA32F1E6F99}" name="Rio das Ostras" dataDxfId="175"/>
    <tableColumn id="3" xr3:uid="{182B092B-36CB-4121-8026-DD98AD216EE5}" name="Cabo Frio" dataDxfId="174"/>
    <tableColumn id="4" xr3:uid="{65EFF6FF-2009-40A6-8EB8-70534476F81A}" name="Macaé" dataDxfId="1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4F4734-E4E0-4C21-AE75-1D1A69AF1568}" name="Tabela4" displayName="Tabela4" ref="C19:L31" totalsRowShown="0" headerRowDxfId="172" dataDxfId="171">
  <autoFilter ref="C19:L31" xr:uid="{A94F4734-E4E0-4C21-AE75-1D1A69AF1568}"/>
  <tableColumns count="10">
    <tableColumn id="1" xr3:uid="{4E26669F-A1ED-4876-A5AE-B63EE4C3430C}" name="Ano" dataDxfId="170"/>
    <tableColumn id="2" xr3:uid="{E0BE09CA-92AE-4DCD-9E31-C3A5982F8E8A}" name="Roubos_RO" dataDxfId="169"/>
    <tableColumn id="3" xr3:uid="{69F277C7-53D8-4043-8AA7-31461CAC4B17}" name="Furtos_RO" dataDxfId="168"/>
    <tableColumn id="4" xr3:uid="{2E52A027-B14F-414C-969F-A878509A7A15}" name="HD_RO" dataDxfId="167"/>
    <tableColumn id="5" xr3:uid="{F640F142-25FF-4D14-894C-EB6FE30E8997}" name="Roubos_CF" dataDxfId="166"/>
    <tableColumn id="6" xr3:uid="{16055EE0-84F3-44CE-8C2F-44084F66832E}" name="Furtos_CF" dataDxfId="165"/>
    <tableColumn id="7" xr3:uid="{287A29BD-5FF4-4FAC-92EC-4F7D091DA918}" name="HD_CF" dataDxfId="164"/>
    <tableColumn id="8" xr3:uid="{4C568AF0-5591-44F5-974B-1CAED217E8E0}" name="Roubos_RL" dataDxfId="163"/>
    <tableColumn id="9" xr3:uid="{8444EDFD-A5A6-412A-A5FE-0CF30753548A}" name="Furtos_RL" dataDxfId="162"/>
    <tableColumn id="10" xr3:uid="{46311A10-FB09-4F38-8614-03A975181C32}" name="HD_RL" dataDxfId="16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BD05C2-686F-4A72-9546-5F7851BE0414}" name="Tabela7" displayName="Tabela7" ref="A3:D15" totalsRowShown="0" headerRowDxfId="160" dataDxfId="159" headerRowBorderDxfId="157" tableBorderDxfId="158">
  <autoFilter ref="A3:D15" xr:uid="{0CBD05C2-686F-4A72-9546-5F7851BE0414}"/>
  <tableColumns count="4">
    <tableColumn id="1" xr3:uid="{6134DF12-52A0-4F91-A708-F3CF450685A4}" name="Ano" dataDxfId="156"/>
    <tableColumn id="2" xr3:uid="{2579A324-D422-494B-9BCF-0599705EB903}" name="Rio das Ostras" dataDxfId="155"/>
    <tableColumn id="3" xr3:uid="{27234911-5629-48F9-85A4-BA97C7386DC6}" name="Cabo Frio" dataDxfId="154"/>
    <tableColumn id="4" xr3:uid="{F7E51D8D-E42D-4D0A-A4DE-A201F341F6B0}" name="Região dos Lagos" dataDxfId="1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E881816-E0BC-4DF4-93A8-31A360601690}" name="Tabela8" displayName="Tabela8" ref="F3:I15" totalsRowShown="0" headerRowDxfId="152" dataDxfId="151" headerRowBorderDxfId="149" tableBorderDxfId="150">
  <autoFilter ref="F3:I15" xr:uid="{6E881816-E0BC-4DF4-93A8-31A360601690}"/>
  <tableColumns count="4">
    <tableColumn id="1" xr3:uid="{96912608-6622-4140-91A4-AA27EA76FE3B}" name="Ano" dataDxfId="148"/>
    <tableColumn id="2" xr3:uid="{D9CA6CB0-5A01-47F7-BD9C-7D20569DC7E0}" name="Rio das Ostras" dataDxfId="147"/>
    <tableColumn id="3" xr3:uid="{B0D68891-363C-4A54-A775-AC07C2EAC8B3}" name="Cabo Frio" dataDxfId="146"/>
    <tableColumn id="4" xr3:uid="{09B15D99-698F-494A-8E59-852B2859CFFC}" name="Região dos Lagos" dataDxfId="1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0817EAA-ABA3-4D83-9966-AB8D197CFB64}" name="Tabela9" displayName="Tabela9" ref="K3:N15" totalsRowShown="0" headerRowDxfId="144" dataDxfId="143" headerRowBorderDxfId="141" tableBorderDxfId="142">
  <autoFilter ref="K3:N15" xr:uid="{50817EAA-ABA3-4D83-9966-AB8D197CFB64}"/>
  <tableColumns count="4">
    <tableColumn id="1" xr3:uid="{012F7C6A-6556-4A51-83A7-71757A2951C4}" name="Ano" dataDxfId="140"/>
    <tableColumn id="2" xr3:uid="{DE1EE2EE-4D16-4431-979A-983D8AAE93C4}" name="Rio das Ostras" dataDxfId="139"/>
    <tableColumn id="3" xr3:uid="{B89455D5-BA58-4365-AE56-B31B94CFD95C}" name="Cabo Frio" dataDxfId="138"/>
    <tableColumn id="4" xr3:uid="{8C2C7DC7-46FD-4583-977D-9059BE71EBFD}" name="Região dos Lagos" dataDxfId="13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A3D2834-264B-48EB-B770-89C8F6D06CBF}" name="Interesse_digital" displayName="Interesse_digital" ref="A1:I270" headerRowDxfId="136" dataDxfId="135" totalsRowDxfId="134" tableBorderDxfId="133">
  <autoFilter ref="A1:I270" xr:uid="{CA3D2834-264B-48EB-B770-89C8F6D06CBF}"/>
  <tableColumns count="9">
    <tableColumn id="1" xr3:uid="{EC1ADBE1-A225-4738-B46A-40D5D95B8F3E}" name="Time" dataDxfId="132"/>
    <tableColumn id="2" xr3:uid="{4375111A-B94F-434A-BCBF-1BD3768CF0EE}" name="hotel 'ro'" dataDxfId="131"/>
    <tableColumn id="3" xr3:uid="{5985809A-D67F-4532-AC60-1329C5ABB4CE}" name="hotel 'cf'" dataDxfId="130"/>
    <tableColumn id="4" xr3:uid="{8CA945B6-B402-491C-B318-D30C656E0607}" name="pousada 'ro'" dataDxfId="129"/>
    <tableColumn id="5" xr3:uid="{16EFC329-9CE4-4AD7-AC0A-FB35CD88E597}" name="pousada 'cf'" totalsRowFunction="sum" dataDxfId="128"/>
    <tableColumn id="10" xr3:uid="{770BA534-3585-474D-8F70-E3E83D46B730}" name="Mês" dataDxfId="127">
      <calculatedColumnFormula>MONTH(A2)</calculatedColumnFormula>
    </tableColumn>
    <tableColumn id="6" xr3:uid="{9D2588A9-68A7-44D3-9C65-C87B13E61A42}" name="ano" dataDxfId="126">
      <calculatedColumnFormula>YEAR(A2)</calculatedColumnFormula>
    </tableColumn>
    <tableColumn id="7" xr3:uid="{DDE7E7E5-3002-4029-A0F8-31A8D3FB52D4}" name="Demanda RO" dataDxfId="125">
      <calculatedColumnFormula>SUM(Interesse_digital[[#This Row],[hotel ''ro'']],Interesse_digital[[#This Row],[pousada ''ro'']])</calculatedColumnFormula>
    </tableColumn>
    <tableColumn id="8" xr3:uid="{C61E09DC-7458-4245-8343-FF655C2DB744}" name="Demanda CF" dataDxfId="124">
      <calculatedColumnFormula>SUM(Interesse_digital[[#This Row],[hotel ''cf'']],Interesse_digital[[#This Row],[pousada ''cf'']])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FDC8E26-6365-4C7E-8253-3A0371BCE925}" name="interesse_mes" displayName="interesse_mes" ref="K1:M13" totalsRowShown="0" headerRowDxfId="123" dataDxfId="122" tableBorderDxfId="121">
  <autoFilter ref="K1:M13" xr:uid="{4FDC8E26-6365-4C7E-8253-3A0371BCE925}"/>
  <tableColumns count="3">
    <tableColumn id="1" xr3:uid="{BED09797-ABDA-4903-B1EA-1AD9BB24EFF4}" name="Mês" dataDxfId="120"/>
    <tableColumn id="2" xr3:uid="{27F16CDE-B156-4CDB-9D76-4C8A3092A8B4}" name="Demanda CF / mês" dataDxfId="119"/>
    <tableColumn id="3" xr3:uid="{233EB593-241F-49FD-85AB-EEC506089840}" name="Demanda RO / mês" dataDxfId="11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4CDE230-C62E-4EF4-A570-0D5115F61622}" name="Tabela25" displayName="Tabela25" ref="B3:D15" totalsRowShown="0" headerRowDxfId="117" dataDxfId="116">
  <autoFilter ref="B3:D15" xr:uid="{E4CDE230-C62E-4EF4-A570-0D5115F61622}"/>
  <tableColumns count="3">
    <tableColumn id="1" xr3:uid="{270D8F02-09AF-427E-9307-2DE7D3702F1A}" name="Ano" dataDxfId="115"/>
    <tableColumn id="2" xr3:uid="{80B6D276-74DF-4EB9-B2DB-9380F79311C1}" name="Rio das Ostras" dataDxfId="114"/>
    <tableColumn id="3" xr3:uid="{29869A39-6E62-463A-B924-B81220BA4C6E}" name="Cabo Frio" dataDxfId="11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84F1033-00BB-4FEB-A9F9-01A0736C4E86}" name="Tabela26" displayName="Tabela26" ref="F3:H15" totalsRowShown="0" headerRowDxfId="112" dataDxfId="111" headerRowBorderDxfId="109" tableBorderDxfId="110">
  <autoFilter ref="F3:H15" xr:uid="{984F1033-00BB-4FEB-A9F9-01A0736C4E86}"/>
  <tableColumns count="3">
    <tableColumn id="1" xr3:uid="{7EE5FC15-DB65-4716-AADF-F291B289F603}" name="Ano" dataDxfId="108"/>
    <tableColumn id="2" xr3:uid="{E2AE9036-27D8-469B-AD2D-C28597C21368}" name="Rio das Ostras" dataDxfId="107"/>
    <tableColumn id="3" xr3:uid="{A2D65613-7611-4E45-9F8B-AB4D24DDAB22}" name="Cabo Frio" dataDxfId="10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F784A17-6014-4214-B18D-0162FE3251E0}" name="Tabela27" displayName="Tabela27" ref="B2:D14" totalsRowShown="0" headerRowBorderDxfId="104" tableBorderDxfId="105">
  <autoFilter ref="B2:D14" xr:uid="{9F784A17-6014-4214-B18D-0162FE3251E0}"/>
  <tableColumns count="3">
    <tableColumn id="1" xr3:uid="{394344D8-F7B2-41BC-A10F-688DE2841B96}" name="Ano" dataDxfId="103"/>
    <tableColumn id="2" xr3:uid="{9FEA27E6-97C0-4036-989C-77570345BE33}" name="Rio das Ostras" dataDxfId="102"/>
    <tableColumn id="3" xr3:uid="{1BEE63DA-463D-4F54-94B2-DA88A68F3020}" name="Cabo Frio" dataDxfId="10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4215151-C8B7-4016-9E96-60CEC9FFFB25}" name="Tabela28" displayName="Tabela28" ref="F2:H14" totalsRowShown="0" headerRowBorderDxfId="99" tableBorderDxfId="100">
  <autoFilter ref="F2:H14" xr:uid="{64215151-C8B7-4016-9E96-60CEC9FFFB25}"/>
  <tableColumns count="3">
    <tableColumn id="1" xr3:uid="{78D55952-97C3-4DCD-8B50-571EBBD0436A}" name="Ano" dataDxfId="98"/>
    <tableColumn id="2" xr3:uid="{FC2F2788-6D33-4185-BCDD-7BC7593E37AB}" name="Rio das Ostras" dataDxfId="97">
      <calculatedColumnFormula>('Empregos Turismo'!C4)/(Tabela27[[#This Row],[Rio das Ostras]])</calculatedColumnFormula>
    </tableColumn>
    <tableColumn id="3" xr3:uid="{4EB7E2BD-C1E9-4AB1-8166-3BF6034B04C9}" name="Cabo Frio" dataDxfId="96">
      <calculatedColumnFormula>('Empregos Turismo'!D4)/(Tabela27[[#This Row],[Cabo Frio]])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28F3991-FBC9-4BAC-8EC6-0536B075ED7E}" name="Tabela29" displayName="Tabela29" ref="J2:L14" totalsRowShown="0" headerRowBorderDxfId="94" tableBorderDxfId="95">
  <autoFilter ref="J2:L14" xr:uid="{528F3991-FBC9-4BAC-8EC6-0536B075ED7E}"/>
  <tableColumns count="3">
    <tableColumn id="1" xr3:uid="{BC723C54-7981-40CA-AFD2-17B2438AC3F9}" name="Ano" dataDxfId="93"/>
    <tableColumn id="2" xr3:uid="{9646FC89-1919-45EE-B175-DD3ECB09339C}" name="Rio das Ostras" dataDxfId="92"/>
    <tableColumn id="3" xr3:uid="{CA5A1A0E-7C9C-40FF-905D-279FB6F85718}" name="Cabo Frio" dataDxfId="9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CBF9BD-6658-406C-AFF3-3254BA9E6B94}" name="Tabela3" displayName="Tabela3" ref="B2:E16" totalsRowShown="0" headerRowDxfId="90" dataDxfId="89" headerRowBorderDxfId="87" tableBorderDxfId="88">
  <autoFilter ref="B2:E16" xr:uid="{5ACBF9BD-6658-406C-AFF3-3254BA9E6B94}"/>
  <sortState xmlns:xlrd2="http://schemas.microsoft.com/office/spreadsheetml/2017/richdata2" ref="B3:E16">
    <sortCondition ref="B2:B16"/>
  </sortState>
  <tableColumns count="4">
    <tableColumn id="1" xr3:uid="{2867EAA4-04E7-4550-80A5-5A937C1C9B67}" name="Ano" dataDxfId="86"/>
    <tableColumn id="2" xr3:uid="{AE0B8F1C-E790-4F84-B426-83AA945689B2}" name="Rio das Ostras" dataDxfId="85">
      <calculatedColumnFormula>C20/População!C9</calculatedColumnFormula>
    </tableColumn>
    <tableColumn id="3" xr3:uid="{41C2B8AE-8CCD-4091-B57B-01E8D579101E}" name="Cabo Frio" dataDxfId="84">
      <calculatedColumnFormula>(D20/População!D9)</calculatedColumnFormula>
    </tableColumn>
    <tableColumn id="4" xr3:uid="{D97158B5-BD4C-4C1D-A0DB-D18B3D26BAD2}" name="Macaé" dataDxfId="83">
      <calculatedColumnFormula>(E20/População!E9)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E80DFB-E753-4F38-81DC-D6036DA510DB}" name="Tabela313" displayName="Tabela313" ref="B19:E33" totalsRowShown="0" headerRowDxfId="82" dataDxfId="81" headerRowBorderDxfId="79" tableBorderDxfId="80">
  <autoFilter ref="B19:E33" xr:uid="{75E80DFB-E753-4F38-81DC-D6036DA510DB}"/>
  <tableColumns count="4">
    <tableColumn id="1" xr3:uid="{26577058-7A52-4D2C-9C5E-2917132233F0}" name="Ano" dataDxfId="78"/>
    <tableColumn id="2" xr3:uid="{C21087A6-975E-4068-A0DD-80E4C165227E}" name="Rio das Ostras" dataDxfId="77"/>
    <tableColumn id="3" xr3:uid="{D6FAEFE4-57E4-4D22-8DBE-2D5CEDA0B71A}" name="Cabo Frio" dataDxfId="76"/>
    <tableColumn id="4" xr3:uid="{B016C80E-5193-49CF-B68B-18CBD1AAFC63}" name="Macaé" dataDxfId="7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06DE84A-BE6B-4F2B-AA83-A83D149F1AD0}" name="Tabela15" displayName="Tabela15" ref="B3:E15" totalsRowShown="0" headerRowDxfId="74" dataDxfId="73" headerRowBorderDxfId="71" tableBorderDxfId="72" totalsRowBorderDxfId="70">
  <autoFilter ref="B3:E15" xr:uid="{E06DE84A-BE6B-4F2B-AA83-A83D149F1AD0}"/>
  <tableColumns count="4">
    <tableColumn id="1" xr3:uid="{64BE58AC-13FB-4144-A407-96B8AC8571FF}" name="Ano" dataDxfId="69"/>
    <tableColumn id="2" xr3:uid="{6981ACE5-40B5-4B54-ACE9-7D75C97CF694}" name="Cabo Frio" dataDxfId="68"/>
    <tableColumn id="3" xr3:uid="{43455DB4-F157-4E52-BD6F-D9D66F436669}" name="Macaé" dataDxfId="67"/>
    <tableColumn id="4" xr3:uid="{031501BA-B126-4393-823F-0D9226B54955}" name="Rio das Ostras" dataDxfId="6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10ED32D-6435-4892-93FB-0BCB3E686E3C}" name="Tabela19" displayName="Tabela19" ref="G3:J15" totalsRowShown="0" headerRowDxfId="65" dataDxfId="64" headerRowBorderDxfId="62" tableBorderDxfId="63">
  <autoFilter ref="G3:J15" xr:uid="{610ED32D-6435-4892-93FB-0BCB3E686E3C}"/>
  <tableColumns count="4">
    <tableColumn id="1" xr3:uid="{B0AC2E34-6BF5-4258-8338-A2F993D4878A}" name="Ano" dataDxfId="61"/>
    <tableColumn id="2" xr3:uid="{35122DAF-D053-4D9C-B321-482D560251D7}" name="Cabo Frio" dataDxfId="60"/>
    <tableColumn id="3" xr3:uid="{645CE487-20FA-4293-AC42-3E266401B296}" name="Macaé" dataDxfId="59"/>
    <tableColumn id="4" xr3:uid="{BE7105A7-96CA-48B3-9AF0-C7EDD987EC7A}" name="Rio das Ostras" dataDxfId="5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47E5206-8E2A-4884-A12C-1676BE39240B}" name="Tabela1521" displayName="Tabela1521" ref="L3:O15" totalsRowShown="0" headerRowDxfId="57" dataDxfId="56" headerRowBorderDxfId="54" tableBorderDxfId="55" totalsRowBorderDxfId="53">
  <autoFilter ref="L3:O15" xr:uid="{C47E5206-8E2A-4884-A12C-1676BE39240B}"/>
  <tableColumns count="4">
    <tableColumn id="1" xr3:uid="{B176B070-3FBF-4A8A-81B6-45687D7BD0FD}" name="Ano" dataDxfId="52"/>
    <tableColumn id="2" xr3:uid="{8DF12729-6177-4C60-BEC6-7E0DD593F345}" name="Cabo Frio" dataDxfId="51">
      <calculatedColumnFormula>C4/População!D12</calculatedColumnFormula>
    </tableColumn>
    <tableColumn id="3" xr3:uid="{18E5ADC1-A536-4639-837D-A8E786700E47}" name="Macaé" dataDxfId="50">
      <calculatedColumnFormula>D4/População!E12</calculatedColumnFormula>
    </tableColumn>
    <tableColumn id="4" xr3:uid="{09FED24B-EDDE-49FA-98D8-9A7832ACA6D4}" name="Rio das Ostras" dataDxfId="49">
      <calculatedColumnFormula>E4/População!C12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B74FCF2-6F2E-4476-A817-230702A24AF0}" name="Tabela152122" displayName="Tabela152122" ref="Q3:T15" totalsRowShown="0" headerRowDxfId="48" dataDxfId="47" headerRowBorderDxfId="45" tableBorderDxfId="46" totalsRowBorderDxfId="44">
  <autoFilter ref="Q3:T15" xr:uid="{0B74FCF2-6F2E-4476-A817-230702A24AF0}"/>
  <tableColumns count="4">
    <tableColumn id="1" xr3:uid="{299B6F60-CE1C-45B7-AB99-F7EC6279ABBF}" name="Ano" dataDxfId="43"/>
    <tableColumn id="2" xr3:uid="{59E4DEB5-1286-4537-8278-E8EBC759FB71}" name="Cabo Frio" dataDxfId="42">
      <calculatedColumnFormula>H4/População!D12</calculatedColumnFormula>
    </tableColumn>
    <tableColumn id="3" xr3:uid="{852CBEB3-F750-4600-9CCE-FE8D97F3CDA2}" name="Macaé" dataDxfId="41">
      <calculatedColumnFormula>I4/População!E12</calculatedColumnFormula>
    </tableColumn>
    <tableColumn id="4" xr3:uid="{0EB254A2-80AF-4EEF-AA7F-DAC6B365BAC0}" name="Rio das Ostras" dataDxfId="40">
      <calculatedColumnFormula>J4/População!C12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C9816FF-D1E9-449B-B5C1-7F594BA4D2B3}" name="Tabela152123" displayName="Tabela152123" ref="V3:Y15" totalsRowShown="0" headerRowDxfId="39" dataDxfId="38" headerRowBorderDxfId="36" tableBorderDxfId="37" totalsRowBorderDxfId="35">
  <autoFilter ref="V3:Y15" xr:uid="{EC9816FF-D1E9-449B-B5C1-7F594BA4D2B3}"/>
  <tableColumns count="4">
    <tableColumn id="1" xr3:uid="{EC4905CC-5A31-44CF-B738-83B9BE406D7F}" name="Ano" dataDxfId="34"/>
    <tableColumn id="2" xr3:uid="{E552A6AB-1BAC-4F98-97D3-F2A1DBDF3061}" name="Cabo Frio" dataDxfId="33">
      <calculatedColumnFormula>Tabela15[[#This Row],[Cabo Frio]]-Tabela19[[#This Row],[Cabo Frio]]</calculatedColumnFormula>
    </tableColumn>
    <tableColumn id="3" xr3:uid="{6F0A692B-0D90-4F25-B7C3-3EA008F3B2A0}" name="Macaé" dataDxfId="32">
      <calculatedColumnFormula>D4-I4</calculatedColumnFormula>
    </tableColumn>
    <tableColumn id="4" xr3:uid="{10E56A69-1B52-42B2-AE81-CD02CD899CB1}" name="Rio das Ostras" dataDxfId="31">
      <calculatedColumnFormula>E4-J4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1240D-7C5D-4F7F-BD9F-FA65DF19F1CA}" name="Tabela1" displayName="Tabela1" ref="A1:D8" totalsRowShown="0" headerRowDxfId="30" dataDxfId="29" headerRowBorderDxfId="27" tableBorderDxfId="28" totalsRowBorderDxfId="26">
  <autoFilter ref="A1:D8" xr:uid="{C971240D-7C5D-4F7F-BD9F-FA65DF19F1CA}"/>
  <tableColumns count="4">
    <tableColumn id="1" xr3:uid="{72915CB3-694B-44C8-B321-1384B996DA35}" name="Indicador" dataDxfId="25"/>
    <tableColumn id="2" xr3:uid="{0B10BD6C-2FF4-4B67-B6C0-D5B84F28CF65}" name="Pergunta" dataDxfId="24"/>
    <tableColumn id="3" xr3:uid="{4ACEF387-BEE7-4CCC-AD74-051A8B283F80}" name="Resposta" dataDxfId="23"/>
    <tableColumn id="4" xr3:uid="{0DA90E5B-A6A9-4C16-AFC9-0D09F6D29D31}" name="Hipótese" dataDxfId="2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A518EF6-D3CC-454C-9679-4C57CC7F1603}" name="Tabela24" displayName="Tabela24" ref="F21:H33" totalsRowShown="0" headerRowDxfId="21" dataDxfId="20" headerRowBorderDxfId="18" tableBorderDxfId="19" totalsRowBorderDxfId="17">
  <autoFilter ref="F21:H33" xr:uid="{EA518EF6-D3CC-454C-9679-4C57CC7F1603}"/>
  <tableColumns count="3">
    <tableColumn id="1" xr3:uid="{9B1EF844-31E3-4664-99BA-6E7E445FE23A}" name="Ano" dataDxfId="16"/>
    <tableColumn id="2" xr3:uid="{289A98C4-077D-46A6-AE1C-B392AF66E6A6}" name="PIB per capita" dataDxfId="15"/>
    <tableColumn id="3" xr3:uid="{8F7386A9-DC1C-462D-8F72-2E67D1F4FE20}" name="Empregos formais no turismo" dataDxfId="14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3DA0F5-8EDF-401C-98D8-D4040C917ECD}" name="Tabela5" displayName="Tabela5" ref="N21:P33" totalsRowShown="0" headerRowDxfId="13" dataDxfId="12" tableBorderDxfId="11">
  <autoFilter ref="N21:P33" xr:uid="{5B3DA0F5-8EDF-401C-98D8-D4040C917ECD}"/>
  <tableColumns count="3">
    <tableColumn id="1" xr3:uid="{4183D6AA-6228-49FB-9C89-DFD216131329}" name="Ano" dataDxfId="10"/>
    <tableColumn id="2" xr3:uid="{76DCBE08-F54A-42D9-B1E7-97BF334597FE}" name="interesse digital" dataDxfId="9"/>
    <tableColumn id="3" xr3:uid="{D195E204-C4F3-437F-81FB-27E3DB273E45}" name="Empregos formais no turismo" dataDxfId="8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4416D6-672A-494D-929A-C0CF4860BDE5}" name="Tabela2414" displayName="Tabela2414" ref="J21:L33" totalsRowShown="0" headerRowDxfId="7" dataDxfId="6" headerRowBorderDxfId="4" tableBorderDxfId="5" totalsRowBorderDxfId="3">
  <autoFilter ref="J21:L33" xr:uid="{4D4416D6-672A-494D-929A-C0CF4860BDE5}"/>
  <tableColumns count="3">
    <tableColumn id="1" xr3:uid="{6CF68861-A9E8-4759-B0FA-E921F41BA2EB}" name="Ano" dataDxfId="2"/>
    <tableColumn id="2" xr3:uid="{2929C0DC-8EFB-40BD-9681-119152EEDCAE}" name="PIB per capita" dataDxfId="1"/>
    <tableColumn id="3" xr3:uid="{2AD9D212-7834-41E1-951F-99D5ED235B56}" name="Empregos formais totais" dataDxfId="0">
      <calculatedColumnFormula>('Total Empregos Formais'!C3)*(População!C9)/1000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drawing" Target="../drawings/drawing6.xml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drawing" Target="../drawings/drawing8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drawing" Target="../drawings/drawing10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7D9C-60BB-47B7-B633-6F58C7D7EEAF}">
  <dimension ref="A1:H44"/>
  <sheetViews>
    <sheetView workbookViewId="0">
      <selection activeCell="E22" sqref="E22"/>
    </sheetView>
  </sheetViews>
  <sheetFormatPr defaultRowHeight="15.75"/>
  <cols>
    <col min="1" max="1" width="9.140625" style="5"/>
    <col min="2" max="2" width="23.28515625" style="5" bestFit="1" customWidth="1"/>
    <col min="3" max="3" width="31.85546875" style="5" bestFit="1" customWidth="1"/>
    <col min="4" max="4" width="60.5703125" style="5" customWidth="1"/>
    <col min="5" max="5" width="37.42578125" style="5" bestFit="1" customWidth="1"/>
    <col min="6" max="6" width="17.140625" style="5" bestFit="1" customWidth="1"/>
    <col min="7" max="7" width="37.42578125" style="5" customWidth="1"/>
    <col min="8" max="8" width="46" style="5" bestFit="1" customWidth="1"/>
    <col min="9" max="16384" width="9.140625" style="5"/>
  </cols>
  <sheetData>
    <row r="1" spans="1:8">
      <c r="A1" s="4"/>
      <c r="B1" s="4"/>
      <c r="C1" s="4"/>
      <c r="D1" s="4"/>
      <c r="E1" s="4"/>
      <c r="F1" s="4"/>
      <c r="G1" s="4"/>
    </row>
    <row r="2" spans="1:8" ht="21">
      <c r="A2" s="4"/>
      <c r="B2" s="189" t="s">
        <v>0</v>
      </c>
      <c r="C2" s="189"/>
      <c r="D2" s="189"/>
      <c r="E2" s="189"/>
      <c r="F2" s="189"/>
    </row>
    <row r="3" spans="1:8" ht="18.75">
      <c r="A3" s="4"/>
      <c r="B3" s="58" t="s">
        <v>1</v>
      </c>
      <c r="C3" s="58" t="s">
        <v>2</v>
      </c>
      <c r="D3" s="58" t="s">
        <v>3</v>
      </c>
      <c r="E3" s="58" t="s">
        <v>4</v>
      </c>
      <c r="F3" s="58" t="s">
        <v>5</v>
      </c>
    </row>
    <row r="4" spans="1:8" ht="16.5">
      <c r="A4" s="4"/>
      <c r="B4" s="30" t="s">
        <v>6</v>
      </c>
      <c r="C4" s="31" t="s">
        <v>7</v>
      </c>
      <c r="D4" s="32" t="s">
        <v>8</v>
      </c>
      <c r="E4" s="29" t="s">
        <v>9</v>
      </c>
      <c r="F4" s="33" t="s">
        <v>10</v>
      </c>
    </row>
    <row r="5" spans="1:8" ht="32.25">
      <c r="A5" s="4"/>
      <c r="B5" s="30" t="s">
        <v>11</v>
      </c>
      <c r="C5" s="31" t="s">
        <v>12</v>
      </c>
      <c r="D5" s="32" t="s">
        <v>13</v>
      </c>
      <c r="E5" s="34" t="s">
        <v>14</v>
      </c>
      <c r="F5" s="30" t="s">
        <v>15</v>
      </c>
    </row>
    <row r="6" spans="1:8" ht="16.5">
      <c r="A6" s="4"/>
      <c r="B6" s="30"/>
      <c r="C6" s="31" t="s">
        <v>16</v>
      </c>
      <c r="D6" s="32" t="s">
        <v>17</v>
      </c>
      <c r="E6" s="51" t="s">
        <v>18</v>
      </c>
      <c r="F6" s="30" t="s">
        <v>6</v>
      </c>
    </row>
    <row r="7" spans="1:8" ht="16.5">
      <c r="A7" s="4"/>
      <c r="B7" s="30"/>
      <c r="C7" s="31" t="s">
        <v>19</v>
      </c>
      <c r="D7" s="32" t="s">
        <v>20</v>
      </c>
      <c r="E7" s="35"/>
      <c r="F7" s="30" t="s">
        <v>21</v>
      </c>
    </row>
    <row r="8" spans="1:8" ht="16.5">
      <c r="A8" s="4"/>
      <c r="B8" s="30"/>
      <c r="C8" s="31" t="s">
        <v>22</v>
      </c>
      <c r="D8" s="32" t="s">
        <v>23</v>
      </c>
      <c r="E8" s="49"/>
      <c r="F8" s="30"/>
    </row>
    <row r="9" spans="1:8">
      <c r="A9" s="4"/>
      <c r="B9" s="36"/>
      <c r="C9" s="36"/>
      <c r="D9" s="36"/>
      <c r="E9" s="36"/>
      <c r="F9" s="36"/>
    </row>
    <row r="10" spans="1:8" ht="21">
      <c r="A10" s="4"/>
      <c r="B10" s="189" t="s">
        <v>24</v>
      </c>
      <c r="C10" s="189"/>
      <c r="D10" s="189"/>
      <c r="E10" s="189"/>
      <c r="F10" s="36"/>
      <c r="G10" s="53" t="s">
        <v>25</v>
      </c>
      <c r="H10" s="53" t="s">
        <v>26</v>
      </c>
    </row>
    <row r="11" spans="1:8" ht="18.75">
      <c r="A11" s="4"/>
      <c r="B11" s="54" t="s">
        <v>27</v>
      </c>
      <c r="C11" s="55" t="s">
        <v>28</v>
      </c>
      <c r="D11" s="56" t="s">
        <v>29</v>
      </c>
      <c r="E11" s="57" t="s">
        <v>30</v>
      </c>
      <c r="F11" s="36"/>
      <c r="G11" s="59" t="s">
        <v>31</v>
      </c>
      <c r="H11" s="52" t="s">
        <v>32</v>
      </c>
    </row>
    <row r="12" spans="1:8" ht="16.5">
      <c r="A12" s="4"/>
      <c r="B12" s="37" t="s">
        <v>33</v>
      </c>
      <c r="C12" s="38" t="s">
        <v>34</v>
      </c>
      <c r="D12" s="39" t="s">
        <v>19</v>
      </c>
      <c r="E12" s="40" t="s">
        <v>35</v>
      </c>
      <c r="F12" s="36"/>
      <c r="G12" s="59" t="s">
        <v>36</v>
      </c>
      <c r="H12" s="52" t="s">
        <v>37</v>
      </c>
    </row>
    <row r="13" spans="1:8" ht="16.5">
      <c r="A13" s="4"/>
      <c r="B13" s="37"/>
      <c r="C13" s="38" t="s">
        <v>38</v>
      </c>
      <c r="D13" s="39" t="s">
        <v>19</v>
      </c>
      <c r="E13" s="41" t="s">
        <v>39</v>
      </c>
      <c r="F13" s="36"/>
      <c r="G13" s="59" t="s">
        <v>40</v>
      </c>
      <c r="H13" s="52" t="s">
        <v>37</v>
      </c>
    </row>
    <row r="14" spans="1:8" ht="16.5">
      <c r="A14" s="4"/>
      <c r="B14" s="37"/>
      <c r="C14" s="38" t="s">
        <v>41</v>
      </c>
      <c r="D14" s="39" t="s">
        <v>42</v>
      </c>
      <c r="E14" s="42" t="s">
        <v>43</v>
      </c>
      <c r="F14" s="36"/>
      <c r="G14" s="59" t="s">
        <v>44</v>
      </c>
      <c r="H14" s="52" t="s">
        <v>45</v>
      </c>
    </row>
    <row r="15" spans="1:8" ht="16.5">
      <c r="A15" s="4"/>
      <c r="B15" s="37"/>
      <c r="C15" s="38" t="s">
        <v>46</v>
      </c>
      <c r="D15" s="39" t="s">
        <v>47</v>
      </c>
      <c r="E15" s="42" t="s">
        <v>48</v>
      </c>
      <c r="F15" s="36"/>
      <c r="G15" s="59" t="s">
        <v>48</v>
      </c>
      <c r="H15" s="52" t="s">
        <v>37</v>
      </c>
    </row>
    <row r="16" spans="1:8" ht="16.5">
      <c r="A16" s="4"/>
      <c r="B16" s="37"/>
      <c r="C16" s="38" t="s">
        <v>49</v>
      </c>
      <c r="D16" s="39" t="s">
        <v>42</v>
      </c>
      <c r="E16" s="42" t="s">
        <v>50</v>
      </c>
      <c r="F16" s="43"/>
      <c r="G16" s="59" t="s">
        <v>51</v>
      </c>
      <c r="H16" s="52" t="s">
        <v>52</v>
      </c>
    </row>
    <row r="17" spans="1:8" ht="16.5">
      <c r="A17" s="4"/>
      <c r="B17" s="44"/>
      <c r="C17" s="45" t="s">
        <v>53</v>
      </c>
      <c r="D17" s="46" t="s">
        <v>9</v>
      </c>
      <c r="E17" s="47" t="s">
        <v>54</v>
      </c>
      <c r="F17" s="43"/>
      <c r="G17" s="59" t="s">
        <v>54</v>
      </c>
      <c r="H17" s="52" t="s">
        <v>55</v>
      </c>
    </row>
    <row r="18" spans="1:8">
      <c r="A18" s="4"/>
      <c r="B18" s="36"/>
      <c r="C18" s="36"/>
      <c r="D18" s="36"/>
      <c r="E18" s="36"/>
      <c r="F18" s="36"/>
      <c r="G18" s="4"/>
    </row>
    <row r="19" spans="1:8">
      <c r="A19" s="4"/>
      <c r="B19" s="229"/>
      <c r="C19" s="230"/>
      <c r="D19" s="231"/>
      <c r="E19" s="50"/>
    </row>
    <row r="20" spans="1:8">
      <c r="A20" s="4"/>
      <c r="B20" s="232"/>
      <c r="C20" s="233"/>
      <c r="D20" s="234"/>
      <c r="E20" s="48"/>
    </row>
    <row r="21" spans="1:8">
      <c r="A21" s="4"/>
      <c r="B21" s="232"/>
      <c r="C21" s="233"/>
      <c r="D21" s="234"/>
      <c r="E21" s="48"/>
    </row>
    <row r="22" spans="1:8">
      <c r="A22" s="4"/>
      <c r="B22" s="232"/>
      <c r="C22" s="233"/>
      <c r="D22" s="234"/>
      <c r="E22" s="48"/>
    </row>
    <row r="23" spans="1:8">
      <c r="A23" s="4"/>
      <c r="B23" s="232"/>
      <c r="C23" s="233"/>
      <c r="D23" s="234"/>
      <c r="E23" s="48"/>
    </row>
    <row r="24" spans="1:8">
      <c r="A24" s="4"/>
      <c r="B24" s="232"/>
      <c r="C24" s="233"/>
      <c r="D24" s="234"/>
      <c r="E24" s="48"/>
    </row>
    <row r="25" spans="1:8">
      <c r="A25" s="4"/>
      <c r="B25" s="232"/>
      <c r="C25" s="233"/>
      <c r="D25" s="234"/>
      <c r="E25" s="48"/>
    </row>
    <row r="26" spans="1:8">
      <c r="A26" s="4"/>
      <c r="B26" s="232"/>
      <c r="C26" s="233"/>
      <c r="D26" s="234"/>
      <c r="E26" s="48"/>
    </row>
    <row r="27" spans="1:8">
      <c r="A27" s="4"/>
      <c r="B27" s="232"/>
      <c r="C27" s="233"/>
      <c r="D27" s="234"/>
      <c r="E27" s="48"/>
    </row>
    <row r="28" spans="1:8">
      <c r="A28" s="4"/>
      <c r="B28" s="232"/>
      <c r="C28" s="233"/>
      <c r="D28" s="234"/>
      <c r="E28" s="4"/>
      <c r="F28" s="4"/>
      <c r="G28" s="4"/>
    </row>
    <row r="29" spans="1:8">
      <c r="A29" s="4"/>
      <c r="B29" s="232"/>
      <c r="C29" s="233"/>
      <c r="D29" s="234"/>
      <c r="G29" s="4"/>
    </row>
    <row r="30" spans="1:8">
      <c r="A30" s="4"/>
      <c r="B30" s="232"/>
      <c r="C30" s="233"/>
      <c r="D30" s="234"/>
      <c r="G30" s="4"/>
    </row>
    <row r="31" spans="1:8">
      <c r="A31" s="4"/>
      <c r="B31" s="232"/>
      <c r="C31" s="233"/>
      <c r="D31" s="234"/>
      <c r="G31" s="4"/>
    </row>
    <row r="32" spans="1:8">
      <c r="A32" s="4"/>
      <c r="B32" s="232"/>
      <c r="C32" s="233"/>
      <c r="D32" s="234"/>
      <c r="G32" s="4"/>
    </row>
    <row r="33" spans="1:7">
      <c r="A33" s="4"/>
      <c r="B33" s="232"/>
      <c r="C33" s="233"/>
      <c r="D33" s="234"/>
      <c r="G33" s="4"/>
    </row>
    <row r="34" spans="1:7">
      <c r="A34" s="4"/>
      <c r="B34" s="235"/>
      <c r="C34" s="236"/>
      <c r="D34" s="237"/>
      <c r="G34" s="4"/>
    </row>
    <row r="35" spans="1:7">
      <c r="A35" s="4"/>
      <c r="G35" s="4"/>
    </row>
    <row r="36" spans="1:7">
      <c r="A36" s="4"/>
      <c r="G36" s="4"/>
    </row>
    <row r="37" spans="1:7">
      <c r="A37" s="4"/>
      <c r="G37" s="4"/>
    </row>
    <row r="38" spans="1:7">
      <c r="A38" s="4"/>
      <c r="G38" s="4"/>
    </row>
    <row r="39" spans="1:7">
      <c r="A39" s="4"/>
      <c r="G39" s="4"/>
    </row>
    <row r="40" spans="1:7">
      <c r="A40" s="4"/>
      <c r="G40" s="4"/>
    </row>
    <row r="41" spans="1:7">
      <c r="A41" s="4"/>
      <c r="G41" s="4"/>
    </row>
    <row r="42" spans="1:7">
      <c r="A42" s="4"/>
      <c r="G42" s="4"/>
    </row>
    <row r="43" spans="1:7">
      <c r="A43" s="4"/>
      <c r="G43" s="4"/>
    </row>
    <row r="44" spans="1:7">
      <c r="A44" s="4"/>
      <c r="G44" s="4"/>
    </row>
  </sheetData>
  <mergeCells count="2">
    <mergeCell ref="B2:F2"/>
    <mergeCell ref="B10:E10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5208-A0A8-4824-8B94-C189F2DBD61B}">
  <dimension ref="A1:F20"/>
  <sheetViews>
    <sheetView topLeftCell="A3" workbookViewId="0">
      <selection activeCell="A4" sqref="A4:D4"/>
    </sheetView>
  </sheetViews>
  <sheetFormatPr defaultRowHeight="15.75"/>
  <cols>
    <col min="1" max="1" width="23" style="43" customWidth="1"/>
    <col min="2" max="2" width="26.42578125" style="43" customWidth="1"/>
    <col min="3" max="3" width="16.28515625" style="43" customWidth="1"/>
    <col min="4" max="4" width="30.5703125" style="43" customWidth="1"/>
    <col min="5" max="5" width="56.42578125" style="43" customWidth="1"/>
    <col min="6" max="6" width="52.28515625" style="43" customWidth="1"/>
    <col min="7" max="16384" width="9.140625" style="43"/>
  </cols>
  <sheetData>
    <row r="1" spans="1:6">
      <c r="A1" s="239" t="s">
        <v>56</v>
      </c>
      <c r="B1" s="239"/>
      <c r="C1" s="239"/>
      <c r="D1" s="239"/>
      <c r="E1" s="239"/>
      <c r="F1" s="239"/>
    </row>
    <row r="2" spans="1:6">
      <c r="A2" s="60"/>
      <c r="B2" s="60"/>
      <c r="C2" s="60"/>
      <c r="D2" s="60"/>
      <c r="E2" s="60"/>
      <c r="F2" s="60"/>
    </row>
    <row r="3" spans="1:6">
      <c r="A3" s="238" t="s">
        <v>57</v>
      </c>
      <c r="B3" s="238"/>
      <c r="C3" s="238"/>
      <c r="D3" s="238"/>
      <c r="E3" s="238"/>
      <c r="F3" s="238"/>
    </row>
    <row r="4" spans="1:6" ht="16.5">
      <c r="A4" s="243" t="s">
        <v>25</v>
      </c>
      <c r="B4" s="243" t="s">
        <v>58</v>
      </c>
      <c r="C4" s="243" t="s">
        <v>59</v>
      </c>
      <c r="D4" s="243" t="s">
        <v>60</v>
      </c>
      <c r="E4" s="243" t="s">
        <v>61</v>
      </c>
      <c r="F4" s="243" t="s">
        <v>62</v>
      </c>
    </row>
    <row r="5" spans="1:6" ht="81">
      <c r="A5" s="61" t="s">
        <v>31</v>
      </c>
      <c r="B5" s="62" t="s">
        <v>63</v>
      </c>
      <c r="C5" s="62" t="s">
        <v>64</v>
      </c>
      <c r="D5" s="62" t="s">
        <v>65</v>
      </c>
      <c r="E5" s="62" t="s">
        <v>66</v>
      </c>
      <c r="F5" s="63" t="s">
        <v>67</v>
      </c>
    </row>
    <row r="6" spans="1:6" ht="64.5">
      <c r="A6" s="64" t="s">
        <v>68</v>
      </c>
      <c r="B6" s="65" t="s">
        <v>69</v>
      </c>
      <c r="C6" s="65" t="s">
        <v>70</v>
      </c>
      <c r="D6" s="65" t="s">
        <v>71</v>
      </c>
      <c r="E6" s="65" t="s">
        <v>72</v>
      </c>
      <c r="F6" s="66" t="s">
        <v>73</v>
      </c>
    </row>
    <row r="7" spans="1:6" ht="129">
      <c r="A7" s="61" t="s">
        <v>74</v>
      </c>
      <c r="B7" s="62" t="s">
        <v>75</v>
      </c>
      <c r="C7" s="62" t="s">
        <v>76</v>
      </c>
      <c r="D7" s="62" t="s">
        <v>77</v>
      </c>
      <c r="E7" s="62" t="s">
        <v>78</v>
      </c>
      <c r="F7" s="63" t="s">
        <v>79</v>
      </c>
    </row>
    <row r="8" spans="1:6" ht="81">
      <c r="A8" s="64" t="s">
        <v>80</v>
      </c>
      <c r="B8" s="65" t="s">
        <v>81</v>
      </c>
      <c r="C8" s="65" t="s">
        <v>82</v>
      </c>
      <c r="D8" s="65" t="s">
        <v>83</v>
      </c>
      <c r="E8" s="65" t="s">
        <v>84</v>
      </c>
      <c r="F8" s="66" t="s">
        <v>85</v>
      </c>
    </row>
    <row r="9" spans="1:6" ht="113.25">
      <c r="A9" s="61" t="s">
        <v>86</v>
      </c>
      <c r="B9" s="62" t="s">
        <v>87</v>
      </c>
      <c r="C9" s="62" t="s">
        <v>88</v>
      </c>
      <c r="D9" s="62" t="s">
        <v>89</v>
      </c>
      <c r="E9" s="62" t="s">
        <v>90</v>
      </c>
      <c r="F9" s="63" t="s">
        <v>91</v>
      </c>
    </row>
    <row r="10" spans="1:6" ht="81">
      <c r="A10" s="64" t="s">
        <v>92</v>
      </c>
      <c r="B10" s="65" t="s">
        <v>87</v>
      </c>
      <c r="C10" s="65" t="s">
        <v>88</v>
      </c>
      <c r="D10" s="65" t="s">
        <v>89</v>
      </c>
      <c r="E10" s="65" t="s">
        <v>93</v>
      </c>
      <c r="F10" s="66" t="s">
        <v>94</v>
      </c>
    </row>
    <row r="11" spans="1:6" ht="81">
      <c r="A11" s="61" t="s">
        <v>95</v>
      </c>
      <c r="B11" s="62" t="s">
        <v>96</v>
      </c>
      <c r="C11" s="62" t="s">
        <v>97</v>
      </c>
      <c r="D11" s="62" t="s">
        <v>98</v>
      </c>
      <c r="E11" s="62" t="s">
        <v>99</v>
      </c>
      <c r="F11" s="63" t="s">
        <v>100</v>
      </c>
    </row>
    <row r="12" spans="1:6" ht="129">
      <c r="A12" s="64" t="s">
        <v>101</v>
      </c>
      <c r="B12" s="65" t="s">
        <v>102</v>
      </c>
      <c r="C12" s="65" t="s">
        <v>103</v>
      </c>
      <c r="D12" s="65" t="s">
        <v>104</v>
      </c>
      <c r="E12" s="65" t="s">
        <v>105</v>
      </c>
      <c r="F12" s="66" t="s">
        <v>106</v>
      </c>
    </row>
    <row r="13" spans="1:6">
      <c r="A13" s="60"/>
      <c r="B13" s="60"/>
      <c r="C13" s="60"/>
      <c r="D13" s="60"/>
      <c r="E13" s="60"/>
      <c r="F13" s="60"/>
    </row>
    <row r="14" spans="1:6">
      <c r="A14" s="240" t="s">
        <v>107</v>
      </c>
      <c r="B14" s="241"/>
      <c r="C14" s="241"/>
      <c r="D14" s="241"/>
      <c r="E14" s="241"/>
      <c r="F14" s="242"/>
    </row>
    <row r="15" spans="1:6" ht="32.25">
      <c r="A15" s="180" t="s">
        <v>108</v>
      </c>
      <c r="B15" s="195" t="s">
        <v>109</v>
      </c>
      <c r="C15" s="196"/>
      <c r="D15" s="196"/>
      <c r="E15" s="196"/>
      <c r="F15" s="197"/>
    </row>
    <row r="16" spans="1:6" ht="16.5">
      <c r="A16" s="181" t="s">
        <v>110</v>
      </c>
      <c r="B16" s="192" t="s">
        <v>111</v>
      </c>
      <c r="C16" s="193"/>
      <c r="D16" s="193"/>
      <c r="E16" s="193"/>
      <c r="F16" s="194"/>
    </row>
    <row r="17" spans="1:6" ht="32.25">
      <c r="A17" s="180" t="s">
        <v>112</v>
      </c>
      <c r="B17" s="195" t="s">
        <v>113</v>
      </c>
      <c r="C17" s="196"/>
      <c r="D17" s="196"/>
      <c r="E17" s="196"/>
      <c r="F17" s="197"/>
    </row>
    <row r="18" spans="1:6" ht="16.5">
      <c r="A18" s="181" t="s">
        <v>114</v>
      </c>
      <c r="B18" s="192" t="s">
        <v>115</v>
      </c>
      <c r="C18" s="193"/>
      <c r="D18" s="193"/>
      <c r="E18" s="193"/>
      <c r="F18" s="194"/>
    </row>
    <row r="19" spans="1:6" ht="32.25">
      <c r="A19" s="180" t="s">
        <v>116</v>
      </c>
      <c r="B19" s="195" t="s">
        <v>117</v>
      </c>
      <c r="C19" s="196"/>
      <c r="D19" s="196"/>
      <c r="E19" s="196"/>
      <c r="F19" s="197"/>
    </row>
    <row r="20" spans="1:6" ht="46.5" customHeight="1">
      <c r="A20" s="182" t="s">
        <v>118</v>
      </c>
      <c r="B20" s="190" t="s">
        <v>119</v>
      </c>
      <c r="C20" s="190"/>
      <c r="D20" s="190"/>
      <c r="E20" s="190"/>
      <c r="F20" s="191"/>
    </row>
  </sheetData>
  <mergeCells count="9">
    <mergeCell ref="B20:F20"/>
    <mergeCell ref="B18:F18"/>
    <mergeCell ref="B19:F19"/>
    <mergeCell ref="A1:F1"/>
    <mergeCell ref="A3:F3"/>
    <mergeCell ref="A14:F14"/>
    <mergeCell ref="B15:F15"/>
    <mergeCell ref="B16:F16"/>
    <mergeCell ref="B17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E4B9-3E66-4CA8-8090-4FC79FC0F389}">
  <dimension ref="A1:E27"/>
  <sheetViews>
    <sheetView workbookViewId="0">
      <selection activeCell="C12" sqref="C12"/>
    </sheetView>
  </sheetViews>
  <sheetFormatPr defaultRowHeight="15.75"/>
  <cols>
    <col min="1" max="1" width="9.140625" style="5"/>
    <col min="2" max="2" width="10.7109375" style="5" customWidth="1"/>
    <col min="3" max="3" width="17" style="5" bestFit="1" customWidth="1"/>
    <col min="4" max="5" width="11.5703125" style="5" bestFit="1" customWidth="1"/>
    <col min="6" max="6" width="6.7109375" style="5" bestFit="1" customWidth="1"/>
    <col min="7" max="7" width="13.140625" style="5" bestFit="1" customWidth="1"/>
    <col min="8" max="8" width="18.140625" style="5" customWidth="1"/>
    <col min="9" max="9" width="17.140625" style="5" bestFit="1" customWidth="1"/>
    <col min="10" max="10" width="17.7109375" style="5" bestFit="1" customWidth="1"/>
    <col min="11" max="16384" width="9.140625" style="5"/>
  </cols>
  <sheetData>
    <row r="1" spans="1:5">
      <c r="A1" s="198"/>
      <c r="B1" s="199"/>
    </row>
    <row r="2" spans="1:5" ht="15" customHeight="1">
      <c r="A2" s="173"/>
      <c r="B2" s="174"/>
      <c r="C2" s="174"/>
      <c r="D2" s="174"/>
      <c r="E2" s="174"/>
    </row>
    <row r="3" spans="1:5" ht="15" customHeight="1">
      <c r="A3" s="173"/>
      <c r="B3" s="200" t="s">
        <v>120</v>
      </c>
      <c r="C3" s="201"/>
      <c r="D3" s="201"/>
      <c r="E3" s="202"/>
    </row>
    <row r="4" spans="1:5" ht="15" customHeight="1">
      <c r="A4" s="67"/>
      <c r="B4" s="80" t="s">
        <v>121</v>
      </c>
      <c r="C4" s="71" t="s">
        <v>122</v>
      </c>
      <c r="D4" s="72" t="s">
        <v>123</v>
      </c>
      <c r="E4" s="81" t="s">
        <v>124</v>
      </c>
    </row>
    <row r="5" spans="1:5" ht="15" customHeight="1">
      <c r="A5" s="67"/>
      <c r="B5" s="82">
        <f>ROW() - ROW($B$4) + 2005</f>
        <v>2006</v>
      </c>
      <c r="C5" s="76">
        <v>49868</v>
      </c>
      <c r="D5" s="76">
        <v>162467</v>
      </c>
      <c r="E5" s="83">
        <v>173762</v>
      </c>
    </row>
    <row r="6" spans="1:5">
      <c r="A6" s="67"/>
      <c r="B6" s="84">
        <f>ROW() - ROW($B$4) + 2005</f>
        <v>2007</v>
      </c>
      <c r="C6" s="78">
        <v>74750</v>
      </c>
      <c r="D6" s="78">
        <v>168407</v>
      </c>
      <c r="E6" s="85">
        <v>180646</v>
      </c>
    </row>
    <row r="7" spans="1:5">
      <c r="A7" s="67"/>
      <c r="B7" s="82">
        <f>ROW() - ROW($B$4) + 2005</f>
        <v>2008</v>
      </c>
      <c r="C7" s="76">
        <v>91085</v>
      </c>
      <c r="D7" s="76">
        <v>174347</v>
      </c>
      <c r="E7" s="83">
        <v>187529</v>
      </c>
    </row>
    <row r="8" spans="1:5">
      <c r="A8" s="67"/>
      <c r="B8" s="84">
        <f>ROW() - ROW($B$4) + 2005</f>
        <v>2009</v>
      </c>
      <c r="C8" s="78">
        <v>96622</v>
      </c>
      <c r="D8" s="78">
        <v>180287</v>
      </c>
      <c r="E8" s="85">
        <v>194413</v>
      </c>
    </row>
    <row r="9" spans="1:5">
      <c r="A9" s="67"/>
      <c r="B9" s="82">
        <f>ROW() - ROW($B$4) + 2005</f>
        <v>2010</v>
      </c>
      <c r="C9" s="76">
        <v>105676</v>
      </c>
      <c r="D9" s="76">
        <v>186227</v>
      </c>
      <c r="E9" s="83">
        <v>206728</v>
      </c>
    </row>
    <row r="10" spans="1:5">
      <c r="A10" s="67"/>
      <c r="B10" s="84">
        <f>ROW() - ROW($B$4) + 2005</f>
        <v>2011</v>
      </c>
      <c r="C10" s="78">
        <v>110992</v>
      </c>
      <c r="D10" s="78">
        <v>190765</v>
      </c>
      <c r="E10" s="85">
        <v>212341</v>
      </c>
    </row>
    <row r="11" spans="1:5">
      <c r="A11" s="67"/>
      <c r="B11" s="82">
        <f>ROW() - ROW($B$4) + 2005</f>
        <v>2012</v>
      </c>
      <c r="C11" s="76">
        <v>116134</v>
      </c>
      <c r="D11" s="76">
        <v>195302</v>
      </c>
      <c r="E11" s="83">
        <v>217954</v>
      </c>
    </row>
    <row r="12" spans="1:5">
      <c r="A12" s="67"/>
      <c r="B12" s="84">
        <f>ROW() - ROW($B$4) + 2005</f>
        <v>2013</v>
      </c>
      <c r="C12" s="78">
        <v>122196</v>
      </c>
      <c r="D12" s="78">
        <v>199840</v>
      </c>
      <c r="E12" s="85">
        <v>223567</v>
      </c>
    </row>
    <row r="13" spans="1:5">
      <c r="A13" s="67"/>
      <c r="B13" s="82">
        <f>ROW() - ROW($B$4) + 2005</f>
        <v>2014</v>
      </c>
      <c r="C13" s="76">
        <v>127171</v>
      </c>
      <c r="D13" s="76">
        <v>204378</v>
      </c>
      <c r="E13" s="83">
        <v>229180</v>
      </c>
    </row>
    <row r="14" spans="1:5">
      <c r="B14" s="84">
        <f>ROW() - ROW($B$4) + 2005</f>
        <v>2015</v>
      </c>
      <c r="C14" s="78">
        <v>131976</v>
      </c>
      <c r="D14" s="78">
        <v>208915</v>
      </c>
      <c r="E14" s="85">
        <v>234792</v>
      </c>
    </row>
    <row r="15" spans="1:5">
      <c r="B15" s="82">
        <f>ROW() - ROW($B$4) + 2005</f>
        <v>2016</v>
      </c>
      <c r="C15" s="76">
        <v>136626</v>
      </c>
      <c r="D15" s="76">
        <v>213453</v>
      </c>
      <c r="E15" s="83">
        <v>240405</v>
      </c>
    </row>
    <row r="16" spans="1:5">
      <c r="B16" s="84">
        <f>ROW() - ROW($B$4) + 2005</f>
        <v>2017</v>
      </c>
      <c r="C16" s="78">
        <v>141117</v>
      </c>
      <c r="D16" s="78">
        <v>217990</v>
      </c>
      <c r="E16" s="85">
        <v>246018</v>
      </c>
    </row>
    <row r="17" spans="2:5">
      <c r="B17" s="82">
        <f>ROW() - ROW($B$4) + 2005</f>
        <v>2018</v>
      </c>
      <c r="C17" s="76">
        <v>145989</v>
      </c>
      <c r="D17" s="76">
        <v>222528</v>
      </c>
      <c r="E17" s="83">
        <v>251631</v>
      </c>
    </row>
    <row r="18" spans="2:5">
      <c r="B18" s="84">
        <f>ROW() - ROW($B$4) + 2005</f>
        <v>2019</v>
      </c>
      <c r="C18" s="78">
        <v>150674</v>
      </c>
      <c r="D18" s="78">
        <v>222436</v>
      </c>
      <c r="E18" s="85">
        <v>256466</v>
      </c>
    </row>
    <row r="19" spans="2:5">
      <c r="B19" s="82">
        <f>ROW() - ROW($B$4) + 2005</f>
        <v>2020</v>
      </c>
      <c r="C19" s="76">
        <v>155193</v>
      </c>
      <c r="D19" s="76">
        <v>222344</v>
      </c>
      <c r="E19" s="83">
        <v>261301</v>
      </c>
    </row>
    <row r="20" spans="2:5">
      <c r="B20" s="84">
        <f>ROW() - ROW($B$4) + 2005</f>
        <v>2021</v>
      </c>
      <c r="C20" s="78">
        <v>159529</v>
      </c>
      <c r="D20" s="78">
        <v>222253</v>
      </c>
      <c r="E20" s="85">
        <v>266136</v>
      </c>
    </row>
    <row r="21" spans="2:5">
      <c r="B21" s="82">
        <f>ROW() - ROW($B$4) + 2005</f>
        <v>2022</v>
      </c>
      <c r="C21" s="76">
        <v>156491</v>
      </c>
      <c r="D21" s="76">
        <v>222161</v>
      </c>
      <c r="E21" s="83">
        <v>246391</v>
      </c>
    </row>
    <row r="22" spans="2:5">
      <c r="B22" s="86">
        <f>ROW() - ROW($B$4) + 2005</f>
        <v>2023</v>
      </c>
      <c r="C22" s="79">
        <v>162295</v>
      </c>
      <c r="D22" s="79">
        <v>230164</v>
      </c>
      <c r="E22" s="87">
        <v>252407</v>
      </c>
    </row>
    <row r="23" spans="2:5">
      <c r="B23" s="82">
        <f>ROW() - ROW($B$4) + 2005</f>
        <v>2024</v>
      </c>
      <c r="C23" s="76">
        <v>168099</v>
      </c>
      <c r="D23" s="76">
        <v>238166</v>
      </c>
      <c r="E23" s="83">
        <v>258423</v>
      </c>
    </row>
    <row r="24" spans="2:5">
      <c r="B24" s="86">
        <f>ROW() - ROW($B$4) + 2005</f>
        <v>2025</v>
      </c>
      <c r="C24" s="79">
        <v>168455</v>
      </c>
      <c r="D24" s="79">
        <v>238438</v>
      </c>
      <c r="E24" s="87">
        <v>264439</v>
      </c>
    </row>
    <row r="25" spans="2:5">
      <c r="B25" s="88" t="s">
        <v>125</v>
      </c>
      <c r="C25" s="89">
        <f>(C24-C5)/C5</f>
        <v>2.378017967434026</v>
      </c>
      <c r="D25" s="89">
        <f t="shared" ref="D25:E25" si="0">(D24-D5)/D5</f>
        <v>0.46760880671151678</v>
      </c>
      <c r="E25" s="90">
        <f t="shared" si="0"/>
        <v>0.52184597322774828</v>
      </c>
    </row>
    <row r="26" spans="2:5">
      <c r="B26" s="68"/>
      <c r="C26" s="68"/>
    </row>
    <row r="27" spans="2:5">
      <c r="B27" s="69"/>
      <c r="C27" s="70"/>
    </row>
  </sheetData>
  <sheetProtection formatCells="0" formatColumns="0" formatRows="0" insertColumns="0" insertRows="0" insertHyperlinks="0" deleteColumns="0" deleteRows="0" sort="0" autoFilter="0" pivotTables="0"/>
  <mergeCells count="2">
    <mergeCell ref="A1:B1"/>
    <mergeCell ref="B3:E3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D82A-64DA-465A-B27F-C3A8763AC867}">
  <dimension ref="A1:N31"/>
  <sheetViews>
    <sheetView topLeftCell="G14" workbookViewId="0">
      <selection activeCell="G55" sqref="G55"/>
    </sheetView>
  </sheetViews>
  <sheetFormatPr defaultRowHeight="12.75"/>
  <cols>
    <col min="1" max="1" width="6.7109375" style="74" bestFit="1" customWidth="1"/>
    <col min="2" max="2" width="16.28515625" style="74" bestFit="1" customWidth="1"/>
    <col min="3" max="3" width="12.7109375" style="74" bestFit="1" customWidth="1"/>
    <col min="4" max="4" width="19.140625" style="74" bestFit="1" customWidth="1"/>
    <col min="5" max="5" width="13.5703125" style="74" bestFit="1" customWidth="1"/>
    <col min="6" max="6" width="12.42578125" style="74" bestFit="1" customWidth="1"/>
    <col min="7" max="7" width="16.28515625" style="74" bestFit="1" customWidth="1"/>
    <col min="8" max="8" width="13.5703125" style="74" bestFit="1" customWidth="1"/>
    <col min="9" max="9" width="19.140625" style="74" bestFit="1" customWidth="1"/>
    <col min="10" max="10" width="9.28515625" style="74" bestFit="1" customWidth="1"/>
    <col min="11" max="11" width="19.42578125" style="74" bestFit="1" customWidth="1"/>
    <col min="12" max="12" width="16.28515625" style="74" bestFit="1" customWidth="1"/>
    <col min="13" max="13" width="13.85546875" style="74" bestFit="1" customWidth="1"/>
    <col min="14" max="14" width="19.140625" style="74" bestFit="1" customWidth="1"/>
    <col min="15" max="15" width="9.7109375" style="74" bestFit="1" customWidth="1"/>
    <col min="16" max="16" width="13.5703125" style="74" bestFit="1" customWidth="1"/>
    <col min="17" max="17" width="12.42578125" style="74" bestFit="1" customWidth="1"/>
    <col min="18" max="18" width="9.28515625" style="74" bestFit="1" customWidth="1"/>
    <col min="19" max="19" width="13.5703125" style="74" bestFit="1" customWidth="1"/>
    <col min="20" max="20" width="12.42578125" style="74" bestFit="1" customWidth="1"/>
    <col min="21" max="21" width="9.28515625" style="74" bestFit="1" customWidth="1"/>
    <col min="22" max="22" width="12" style="74" bestFit="1" customWidth="1"/>
    <col min="23" max="23" width="9" style="74" bestFit="1" customWidth="1"/>
    <col min="24" max="16384" width="9.140625" style="74"/>
  </cols>
  <sheetData>
    <row r="1" spans="1:14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>
      <c r="A2" s="206" t="s">
        <v>126</v>
      </c>
      <c r="B2" s="206"/>
      <c r="C2" s="206"/>
      <c r="D2" s="206"/>
      <c r="E2" s="73"/>
      <c r="F2" s="206" t="s">
        <v>127</v>
      </c>
      <c r="G2" s="206"/>
      <c r="H2" s="206"/>
      <c r="I2" s="206"/>
      <c r="J2" s="73"/>
      <c r="K2" s="206" t="s">
        <v>128</v>
      </c>
      <c r="L2" s="206"/>
      <c r="M2" s="206"/>
      <c r="N2" s="206"/>
    </row>
    <row r="3" spans="1:14">
      <c r="A3" s="99" t="s">
        <v>121</v>
      </c>
      <c r="B3" s="100" t="s">
        <v>122</v>
      </c>
      <c r="C3" s="101" t="s">
        <v>123</v>
      </c>
      <c r="D3" s="102" t="s">
        <v>129</v>
      </c>
      <c r="E3" s="73"/>
      <c r="F3" s="99" t="s">
        <v>121</v>
      </c>
      <c r="G3" s="100" t="s">
        <v>122</v>
      </c>
      <c r="H3" s="101" t="s">
        <v>123</v>
      </c>
      <c r="I3" s="102" t="s">
        <v>129</v>
      </c>
      <c r="J3" s="73"/>
      <c r="K3" s="99" t="s">
        <v>121</v>
      </c>
      <c r="L3" s="100" t="s">
        <v>122</v>
      </c>
      <c r="M3" s="101" t="s">
        <v>123</v>
      </c>
      <c r="N3" s="102" t="s">
        <v>129</v>
      </c>
    </row>
    <row r="4" spans="1:14">
      <c r="A4" s="103">
        <v>2014</v>
      </c>
      <c r="B4" s="104">
        <v>857</v>
      </c>
      <c r="C4" s="104">
        <v>929</v>
      </c>
      <c r="D4" s="104">
        <v>2969</v>
      </c>
      <c r="E4" s="73"/>
      <c r="F4" s="103">
        <v>2014</v>
      </c>
      <c r="G4" s="104">
        <v>1811</v>
      </c>
      <c r="H4" s="104">
        <v>2675</v>
      </c>
      <c r="I4" s="104">
        <v>9228</v>
      </c>
      <c r="J4" s="73"/>
      <c r="K4" s="103">
        <v>2014</v>
      </c>
      <c r="L4" s="104">
        <v>44</v>
      </c>
      <c r="M4" s="104">
        <v>146</v>
      </c>
      <c r="N4" s="104">
        <v>333</v>
      </c>
    </row>
    <row r="5" spans="1:14">
      <c r="A5" s="103">
        <v>2015</v>
      </c>
      <c r="B5" s="104">
        <v>740</v>
      </c>
      <c r="C5" s="104">
        <v>716</v>
      </c>
      <c r="D5" s="104">
        <v>2569</v>
      </c>
      <c r="E5" s="73"/>
      <c r="F5" s="103">
        <v>2015</v>
      </c>
      <c r="G5" s="104">
        <v>1798</v>
      </c>
      <c r="H5" s="104">
        <v>2290</v>
      </c>
      <c r="I5" s="104">
        <v>8627</v>
      </c>
      <c r="J5" s="73"/>
      <c r="K5" s="103">
        <v>2015</v>
      </c>
      <c r="L5" s="104">
        <v>50</v>
      </c>
      <c r="M5" s="104">
        <v>129</v>
      </c>
      <c r="N5" s="104">
        <v>323</v>
      </c>
    </row>
    <row r="6" spans="1:14">
      <c r="A6" s="103">
        <v>2016</v>
      </c>
      <c r="B6" s="104">
        <v>1094</v>
      </c>
      <c r="C6" s="104">
        <v>952</v>
      </c>
      <c r="D6" s="104">
        <v>3672</v>
      </c>
      <c r="E6" s="73"/>
      <c r="F6" s="103">
        <v>2016</v>
      </c>
      <c r="G6" s="104">
        <v>1535</v>
      </c>
      <c r="H6" s="104">
        <v>1803</v>
      </c>
      <c r="I6" s="104">
        <v>7679</v>
      </c>
      <c r="J6" s="73"/>
      <c r="K6" s="103">
        <v>2016</v>
      </c>
      <c r="L6" s="104">
        <v>80</v>
      </c>
      <c r="M6" s="104">
        <v>125</v>
      </c>
      <c r="N6" s="104">
        <v>420</v>
      </c>
    </row>
    <row r="7" spans="1:14">
      <c r="A7" s="103">
        <v>2017</v>
      </c>
      <c r="B7" s="104">
        <v>918</v>
      </c>
      <c r="C7" s="104">
        <v>1049</v>
      </c>
      <c r="D7" s="104">
        <v>3865</v>
      </c>
      <c r="E7" s="73"/>
      <c r="F7" s="103">
        <v>2017</v>
      </c>
      <c r="G7" s="104">
        <v>1334</v>
      </c>
      <c r="H7" s="104">
        <v>1725</v>
      </c>
      <c r="I7" s="104">
        <v>6873</v>
      </c>
      <c r="J7" s="73"/>
      <c r="K7" s="103">
        <v>2017</v>
      </c>
      <c r="L7" s="104">
        <v>62</v>
      </c>
      <c r="M7" s="104">
        <v>118</v>
      </c>
      <c r="N7" s="104">
        <v>399</v>
      </c>
    </row>
    <row r="8" spans="1:14">
      <c r="A8" s="103">
        <v>2018</v>
      </c>
      <c r="B8" s="104">
        <v>1138</v>
      </c>
      <c r="C8" s="104">
        <v>960</v>
      </c>
      <c r="D8" s="104">
        <v>3956</v>
      </c>
      <c r="E8" s="73"/>
      <c r="F8" s="103">
        <v>2018</v>
      </c>
      <c r="G8" s="104">
        <v>1294</v>
      </c>
      <c r="H8" s="104">
        <v>1442</v>
      </c>
      <c r="I8" s="104">
        <v>6832</v>
      </c>
      <c r="J8" s="73"/>
      <c r="K8" s="103">
        <v>2018</v>
      </c>
      <c r="L8" s="104">
        <v>61</v>
      </c>
      <c r="M8" s="104">
        <v>107</v>
      </c>
      <c r="N8" s="104">
        <v>392</v>
      </c>
    </row>
    <row r="9" spans="1:14">
      <c r="A9" s="103">
        <v>2019</v>
      </c>
      <c r="B9" s="104">
        <v>846</v>
      </c>
      <c r="C9" s="104">
        <v>1032</v>
      </c>
      <c r="D9" s="104">
        <v>3663</v>
      </c>
      <c r="E9" s="73"/>
      <c r="F9" s="103">
        <v>2019</v>
      </c>
      <c r="G9" s="104">
        <v>1538</v>
      </c>
      <c r="H9" s="104">
        <v>1880</v>
      </c>
      <c r="I9" s="104">
        <v>7899</v>
      </c>
      <c r="J9" s="73"/>
      <c r="K9" s="103">
        <v>2019</v>
      </c>
      <c r="L9" s="104">
        <v>32</v>
      </c>
      <c r="M9" s="104">
        <v>95</v>
      </c>
      <c r="N9" s="104">
        <v>279</v>
      </c>
    </row>
    <row r="10" spans="1:14">
      <c r="A10" s="103">
        <v>2020</v>
      </c>
      <c r="B10" s="104">
        <v>694</v>
      </c>
      <c r="C10" s="104">
        <v>628</v>
      </c>
      <c r="D10" s="104">
        <v>2393</v>
      </c>
      <c r="E10" s="73"/>
      <c r="F10" s="103">
        <v>2020</v>
      </c>
      <c r="G10" s="104">
        <v>1210</v>
      </c>
      <c r="H10" s="104">
        <v>1547</v>
      </c>
      <c r="I10" s="104">
        <v>5817</v>
      </c>
      <c r="J10" s="73"/>
      <c r="K10" s="103">
        <v>2020</v>
      </c>
      <c r="L10" s="104">
        <v>65</v>
      </c>
      <c r="M10" s="104">
        <v>88</v>
      </c>
      <c r="N10" s="104">
        <v>322</v>
      </c>
    </row>
    <row r="11" spans="1:14">
      <c r="A11" s="103">
        <v>2021</v>
      </c>
      <c r="B11" s="104">
        <v>567</v>
      </c>
      <c r="C11" s="104">
        <v>545</v>
      </c>
      <c r="D11" s="104">
        <v>2174</v>
      </c>
      <c r="E11" s="73"/>
      <c r="F11" s="103">
        <v>2021</v>
      </c>
      <c r="G11" s="104">
        <v>1253</v>
      </c>
      <c r="H11" s="104">
        <v>1371</v>
      </c>
      <c r="I11" s="104">
        <v>5588</v>
      </c>
      <c r="J11" s="73"/>
      <c r="K11" s="103">
        <v>2021</v>
      </c>
      <c r="L11" s="104">
        <v>63</v>
      </c>
      <c r="M11" s="104">
        <v>81</v>
      </c>
      <c r="N11" s="104">
        <v>312</v>
      </c>
    </row>
    <row r="12" spans="1:14">
      <c r="A12" s="103">
        <v>2022</v>
      </c>
      <c r="B12" s="104">
        <v>462</v>
      </c>
      <c r="C12" s="104">
        <v>497</v>
      </c>
      <c r="D12" s="104">
        <v>1881</v>
      </c>
      <c r="E12" s="73"/>
      <c r="F12" s="103">
        <v>2022</v>
      </c>
      <c r="G12" s="104">
        <v>1296</v>
      </c>
      <c r="H12" s="104">
        <v>2163</v>
      </c>
      <c r="I12" s="104">
        <v>7170</v>
      </c>
      <c r="J12" s="73"/>
      <c r="K12" s="103">
        <v>2022</v>
      </c>
      <c r="L12" s="104">
        <v>32</v>
      </c>
      <c r="M12" s="104">
        <v>77</v>
      </c>
      <c r="N12" s="104">
        <v>247</v>
      </c>
    </row>
    <row r="13" spans="1:14">
      <c r="A13" s="103">
        <v>2023</v>
      </c>
      <c r="B13" s="104">
        <v>261</v>
      </c>
      <c r="C13" s="104">
        <v>383</v>
      </c>
      <c r="D13" s="104">
        <v>1273</v>
      </c>
      <c r="E13" s="73"/>
      <c r="F13" s="103">
        <v>2023</v>
      </c>
      <c r="G13" s="104">
        <v>1309</v>
      </c>
      <c r="H13" s="104">
        <v>2237</v>
      </c>
      <c r="I13" s="104">
        <v>7090</v>
      </c>
      <c r="J13" s="73"/>
      <c r="K13" s="103">
        <v>2023</v>
      </c>
      <c r="L13" s="104">
        <v>25</v>
      </c>
      <c r="M13" s="104">
        <v>65</v>
      </c>
      <c r="N13" s="104">
        <v>258</v>
      </c>
    </row>
    <row r="14" spans="1:14">
      <c r="A14" s="103">
        <v>2024</v>
      </c>
      <c r="B14" s="104">
        <v>156</v>
      </c>
      <c r="C14" s="104">
        <v>391</v>
      </c>
      <c r="D14" s="104">
        <v>1157</v>
      </c>
      <c r="E14" s="73"/>
      <c r="F14" s="103">
        <v>2024</v>
      </c>
      <c r="G14" s="104">
        <v>1210</v>
      </c>
      <c r="H14" s="104">
        <v>2174</v>
      </c>
      <c r="I14" s="104">
        <v>7399</v>
      </c>
      <c r="J14" s="73"/>
      <c r="K14" s="103">
        <v>2024</v>
      </c>
      <c r="L14" s="104">
        <v>22</v>
      </c>
      <c r="M14" s="104">
        <v>97</v>
      </c>
      <c r="N14" s="104">
        <v>266</v>
      </c>
    </row>
    <row r="15" spans="1:14">
      <c r="A15" s="103">
        <v>2025</v>
      </c>
      <c r="B15" s="104">
        <v>146</v>
      </c>
      <c r="C15" s="104">
        <v>337</v>
      </c>
      <c r="D15" s="104">
        <v>1083</v>
      </c>
      <c r="E15" s="73"/>
      <c r="F15" s="103">
        <v>2025</v>
      </c>
      <c r="G15" s="104">
        <v>1197</v>
      </c>
      <c r="H15" s="104">
        <v>2340</v>
      </c>
      <c r="I15" s="104">
        <v>7436</v>
      </c>
      <c r="J15" s="73"/>
      <c r="K15" s="103">
        <v>2025</v>
      </c>
      <c r="L15" s="104">
        <v>20</v>
      </c>
      <c r="M15" s="104">
        <v>63</v>
      </c>
      <c r="N15" s="104">
        <v>225</v>
      </c>
    </row>
    <row r="16" spans="1:14">
      <c r="A16" s="73"/>
      <c r="B16" s="73"/>
      <c r="C16" s="73"/>
      <c r="D16" s="73"/>
      <c r="E16" s="73"/>
      <c r="F16" s="1"/>
      <c r="G16" s="75"/>
      <c r="H16" s="75"/>
      <c r="I16" s="75"/>
      <c r="J16" s="73"/>
      <c r="K16" s="1"/>
    </row>
    <row r="17" spans="3:12">
      <c r="C17" s="91"/>
      <c r="D17" s="207" t="s">
        <v>130</v>
      </c>
      <c r="E17" s="207"/>
      <c r="F17" s="207"/>
      <c r="G17" s="207"/>
      <c r="H17" s="207"/>
      <c r="I17" s="207"/>
      <c r="J17" s="207"/>
      <c r="K17" s="207"/>
      <c r="L17" s="176"/>
    </row>
    <row r="18" spans="3:12">
      <c r="C18" s="92"/>
      <c r="D18" s="203" t="s">
        <v>122</v>
      </c>
      <c r="E18" s="203"/>
      <c r="F18" s="203"/>
      <c r="G18" s="204" t="s">
        <v>123</v>
      </c>
      <c r="H18" s="204"/>
      <c r="I18" s="204"/>
      <c r="J18" s="205" t="s">
        <v>129</v>
      </c>
      <c r="K18" s="205"/>
      <c r="L18" s="205"/>
    </row>
    <row r="19" spans="3:12">
      <c r="C19" s="93" t="s">
        <v>121</v>
      </c>
      <c r="D19" s="175" t="s">
        <v>131</v>
      </c>
      <c r="E19" s="175" t="s">
        <v>132</v>
      </c>
      <c r="F19" s="94" t="s">
        <v>133</v>
      </c>
      <c r="G19" s="175" t="s">
        <v>134</v>
      </c>
      <c r="H19" s="175" t="s">
        <v>135</v>
      </c>
      <c r="I19" s="94" t="s">
        <v>136</v>
      </c>
      <c r="J19" s="175" t="s">
        <v>137</v>
      </c>
      <c r="K19" s="175" t="s">
        <v>138</v>
      </c>
      <c r="L19" s="94" t="s">
        <v>139</v>
      </c>
    </row>
    <row r="20" spans="3:12">
      <c r="C20" s="95">
        <v>2014</v>
      </c>
      <c r="D20" s="96">
        <v>681.1</v>
      </c>
      <c r="E20" s="96">
        <v>1439.2</v>
      </c>
      <c r="F20" s="96">
        <v>35</v>
      </c>
      <c r="G20" s="96">
        <v>454.5</v>
      </c>
      <c r="H20" s="96">
        <v>1308.8</v>
      </c>
      <c r="I20" s="96">
        <v>71.400000000000006</v>
      </c>
      <c r="J20" s="96">
        <v>380.5</v>
      </c>
      <c r="K20" s="96">
        <v>1182.5</v>
      </c>
      <c r="L20" s="96">
        <v>42.7</v>
      </c>
    </row>
    <row r="21" spans="3:12">
      <c r="C21" s="97">
        <v>2015</v>
      </c>
      <c r="D21" s="98">
        <v>565.4</v>
      </c>
      <c r="E21" s="98">
        <v>1373.9</v>
      </c>
      <c r="F21" s="98">
        <v>38.200000000000003</v>
      </c>
      <c r="G21" s="98">
        <v>342.7</v>
      </c>
      <c r="H21" s="98">
        <v>1096.0999999999999</v>
      </c>
      <c r="I21" s="98">
        <v>61.7</v>
      </c>
      <c r="J21" s="98">
        <v>321.3</v>
      </c>
      <c r="K21" s="98">
        <v>1079</v>
      </c>
      <c r="L21" s="98">
        <v>40.4</v>
      </c>
    </row>
    <row r="22" spans="3:12">
      <c r="C22" s="95">
        <v>2016</v>
      </c>
      <c r="D22" s="96">
        <v>804.9</v>
      </c>
      <c r="E22" s="96">
        <v>1129.4000000000001</v>
      </c>
      <c r="F22" s="96">
        <v>58.9</v>
      </c>
      <c r="G22" s="96">
        <v>446</v>
      </c>
      <c r="H22" s="96">
        <v>844.7</v>
      </c>
      <c r="I22" s="96">
        <v>58.6</v>
      </c>
      <c r="J22" s="96">
        <v>448.5</v>
      </c>
      <c r="K22" s="96">
        <v>938</v>
      </c>
      <c r="L22" s="96">
        <v>51.3</v>
      </c>
    </row>
    <row r="23" spans="3:12">
      <c r="C23" s="97">
        <v>2017</v>
      </c>
      <c r="D23" s="98">
        <v>651.29999999999995</v>
      </c>
      <c r="E23" s="98">
        <v>946.4</v>
      </c>
      <c r="F23" s="98">
        <v>44</v>
      </c>
      <c r="G23" s="98">
        <v>481.2</v>
      </c>
      <c r="H23" s="98">
        <v>791.3</v>
      </c>
      <c r="I23" s="98">
        <v>54.1</v>
      </c>
      <c r="J23" s="98">
        <v>461.3</v>
      </c>
      <c r="K23" s="98">
        <v>820.3</v>
      </c>
      <c r="L23" s="98">
        <v>47.6</v>
      </c>
    </row>
    <row r="24" spans="3:12">
      <c r="C24" s="95">
        <v>2018</v>
      </c>
      <c r="D24" s="96">
        <v>779.5</v>
      </c>
      <c r="E24" s="96">
        <v>886.4</v>
      </c>
      <c r="F24" s="96">
        <v>41.8</v>
      </c>
      <c r="G24" s="96">
        <v>431.4</v>
      </c>
      <c r="H24" s="96">
        <v>648</v>
      </c>
      <c r="I24" s="96">
        <v>48.1</v>
      </c>
      <c r="J24" s="96">
        <v>461.6</v>
      </c>
      <c r="K24" s="96">
        <v>797.2</v>
      </c>
      <c r="L24" s="96">
        <v>45.7</v>
      </c>
    </row>
    <row r="25" spans="3:12">
      <c r="C25" s="97">
        <v>2019</v>
      </c>
      <c r="D25" s="98">
        <v>569.29999999999995</v>
      </c>
      <c r="E25" s="98">
        <v>1034.9000000000001</v>
      </c>
      <c r="F25" s="98">
        <v>21.5</v>
      </c>
      <c r="G25" s="98">
        <v>464</v>
      </c>
      <c r="H25" s="98">
        <v>845.2</v>
      </c>
      <c r="I25" s="98">
        <v>42.7</v>
      </c>
      <c r="J25" s="98">
        <v>421.5</v>
      </c>
      <c r="K25" s="98">
        <v>908.9</v>
      </c>
      <c r="L25" s="98">
        <v>32.1</v>
      </c>
    </row>
    <row r="26" spans="3:12">
      <c r="C26" s="95">
        <v>2020</v>
      </c>
      <c r="D26" s="96">
        <v>458.9</v>
      </c>
      <c r="E26" s="96">
        <v>800.1</v>
      </c>
      <c r="F26" s="96">
        <v>43</v>
      </c>
      <c r="G26" s="96">
        <v>282.39999999999998</v>
      </c>
      <c r="H26" s="96">
        <v>695.8</v>
      </c>
      <c r="I26" s="96">
        <v>39.6</v>
      </c>
      <c r="J26" s="96">
        <v>271.60000000000002</v>
      </c>
      <c r="K26" s="96">
        <v>660.1</v>
      </c>
      <c r="L26" s="96">
        <v>36.5</v>
      </c>
    </row>
    <row r="27" spans="3:12">
      <c r="C27" s="97">
        <v>2021</v>
      </c>
      <c r="D27" s="98">
        <v>368.5</v>
      </c>
      <c r="E27" s="98">
        <v>814.3</v>
      </c>
      <c r="F27" s="98">
        <v>40.9</v>
      </c>
      <c r="G27" s="98">
        <v>245.2</v>
      </c>
      <c r="H27" s="98">
        <v>616.9</v>
      </c>
      <c r="I27" s="98">
        <v>36.4</v>
      </c>
      <c r="J27" s="98">
        <v>244.8</v>
      </c>
      <c r="K27" s="98">
        <v>629.29999999999995</v>
      </c>
      <c r="L27" s="98">
        <v>35.1</v>
      </c>
    </row>
    <row r="28" spans="3:12">
      <c r="C28" s="95">
        <v>2022</v>
      </c>
      <c r="D28" s="96">
        <v>295.2</v>
      </c>
      <c r="E28" s="96">
        <v>828.2</v>
      </c>
      <c r="F28" s="96">
        <v>20.399999999999999</v>
      </c>
      <c r="G28" s="96">
        <v>223.7</v>
      </c>
      <c r="H28" s="96">
        <v>973.6</v>
      </c>
      <c r="I28" s="96">
        <v>34.700000000000003</v>
      </c>
      <c r="J28" s="96">
        <v>210.2</v>
      </c>
      <c r="K28" s="96">
        <v>801.4</v>
      </c>
      <c r="L28" s="96">
        <v>27.6</v>
      </c>
    </row>
    <row r="29" spans="3:12">
      <c r="C29" s="97">
        <v>2023</v>
      </c>
      <c r="D29" s="98">
        <v>160.80000000000001</v>
      </c>
      <c r="E29" s="98">
        <v>806.6</v>
      </c>
      <c r="F29" s="98">
        <v>15.4</v>
      </c>
      <c r="G29" s="98">
        <v>166.4</v>
      </c>
      <c r="H29" s="98">
        <v>971.9</v>
      </c>
      <c r="I29" s="98">
        <v>28.2</v>
      </c>
      <c r="J29" s="98">
        <v>138.1</v>
      </c>
      <c r="K29" s="98">
        <v>769.3</v>
      </c>
      <c r="L29" s="98">
        <v>28</v>
      </c>
    </row>
    <row r="30" spans="3:12">
      <c r="C30" s="97">
        <v>2024</v>
      </c>
      <c r="D30" s="98">
        <v>94.9</v>
      </c>
      <c r="E30" s="98">
        <v>735.7</v>
      </c>
      <c r="F30" s="98">
        <v>13.4</v>
      </c>
      <c r="G30" s="98">
        <v>167.8</v>
      </c>
      <c r="H30" s="98">
        <v>933</v>
      </c>
      <c r="I30" s="98">
        <v>41.6</v>
      </c>
      <c r="J30" s="98">
        <v>122</v>
      </c>
      <c r="K30" s="98">
        <v>780</v>
      </c>
      <c r="L30" s="98">
        <v>28</v>
      </c>
    </row>
    <row r="31" spans="3:12">
      <c r="C31" s="95">
        <v>2025</v>
      </c>
      <c r="D31" s="96">
        <v>86.7</v>
      </c>
      <c r="E31" s="96">
        <v>710.6</v>
      </c>
      <c r="F31" s="96">
        <v>11.9</v>
      </c>
      <c r="G31" s="96">
        <v>141.30000000000001</v>
      </c>
      <c r="H31" s="96">
        <v>981.4</v>
      </c>
      <c r="I31" s="96">
        <v>26.4</v>
      </c>
      <c r="J31" s="96">
        <v>111</v>
      </c>
      <c r="K31" s="96">
        <v>762.3</v>
      </c>
      <c r="L31" s="96">
        <v>23.1</v>
      </c>
    </row>
  </sheetData>
  <mergeCells count="7">
    <mergeCell ref="D18:F18"/>
    <mergeCell ref="G18:I18"/>
    <mergeCell ref="J18:L18"/>
    <mergeCell ref="A2:D2"/>
    <mergeCell ref="F2:I2"/>
    <mergeCell ref="K2:N2"/>
    <mergeCell ref="D17:K17"/>
  </mergeCells>
  <pageMargins left="0.75" right="0.75" top="1" bottom="1" header="0.5" footer="0.5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39E3-415A-40A8-A40D-AA8A45D273C4}">
  <dimension ref="A1:M270"/>
  <sheetViews>
    <sheetView topLeftCell="M1" zoomScaleNormal="100" workbookViewId="0">
      <selection activeCell="K38" sqref="K38"/>
    </sheetView>
  </sheetViews>
  <sheetFormatPr defaultColWidth="11.5703125" defaultRowHeight="12.75"/>
  <cols>
    <col min="1" max="1" width="10.140625" style="73" bestFit="1" customWidth="1"/>
    <col min="2" max="2" width="10.85546875" style="73" bestFit="1" customWidth="1"/>
    <col min="3" max="3" width="10.5703125" style="73" bestFit="1" customWidth="1"/>
    <col min="4" max="4" width="14" style="73" bestFit="1" customWidth="1"/>
    <col min="5" max="5" width="13.85546875" style="73" bestFit="1" customWidth="1"/>
    <col min="6" max="6" width="6.7109375" style="73" bestFit="1" customWidth="1"/>
    <col min="7" max="7" width="6.42578125" style="73" bestFit="1" customWidth="1"/>
    <col min="8" max="8" width="14.85546875" style="73" bestFit="1" customWidth="1"/>
    <col min="9" max="9" width="14.42578125" style="73" bestFit="1" customWidth="1"/>
    <col min="10" max="10" width="1.5703125" style="73" customWidth="1"/>
    <col min="11" max="11" width="9.28515625" style="73" bestFit="1" customWidth="1"/>
    <col min="12" max="12" width="19.7109375" style="73" bestFit="1" customWidth="1"/>
    <col min="13" max="13" width="20" style="73" bestFit="1" customWidth="1"/>
    <col min="14" max="14" width="12.42578125" style="73" bestFit="1" customWidth="1"/>
    <col min="15" max="15" width="10.7109375" style="73" bestFit="1" customWidth="1"/>
    <col min="16" max="16" width="17.5703125" style="73" bestFit="1" customWidth="1"/>
    <col min="17" max="17" width="18.28515625" style="73" bestFit="1" customWidth="1"/>
    <col min="18" max="27" width="4.140625" style="73" bestFit="1" customWidth="1"/>
    <col min="28" max="28" width="10.7109375" style="73" bestFit="1" customWidth="1"/>
    <col min="29" max="29" width="3" style="73" bestFit="1" customWidth="1"/>
    <col min="30" max="30" width="2.85546875" style="73" customWidth="1"/>
    <col min="31" max="32" width="3" style="73" bestFit="1" customWidth="1"/>
    <col min="33" max="33" width="6.5703125" style="73" bestFit="1" customWidth="1"/>
    <col min="34" max="42" width="4.28515625" style="73" bestFit="1" customWidth="1"/>
    <col min="43" max="45" width="5.28515625" style="73" bestFit="1" customWidth="1"/>
    <col min="46" max="46" width="13" style="73" bestFit="1" customWidth="1"/>
    <col min="47" max="47" width="3" style="73" bestFit="1" customWidth="1"/>
    <col min="48" max="48" width="7" style="73" bestFit="1" customWidth="1"/>
    <col min="49" max="49" width="3.85546875" style="73" bestFit="1" customWidth="1"/>
    <col min="50" max="53" width="2" style="73" bestFit="1" customWidth="1"/>
    <col min="54" max="61" width="3" style="73" bestFit="1" customWidth="1"/>
    <col min="62" max="62" width="7" style="73" bestFit="1" customWidth="1"/>
    <col min="63" max="63" width="3.85546875" style="73" bestFit="1" customWidth="1"/>
    <col min="64" max="68" width="2" style="73" bestFit="1" customWidth="1"/>
    <col min="69" max="74" width="3" style="73" bestFit="1" customWidth="1"/>
    <col min="75" max="75" width="7" style="73" bestFit="1" customWidth="1"/>
    <col min="76" max="76" width="3.85546875" style="73" bestFit="1" customWidth="1"/>
    <col min="77" max="80" width="2" style="73" bestFit="1" customWidth="1"/>
    <col min="81" max="85" width="3" style="73" bestFit="1" customWidth="1"/>
    <col min="86" max="86" width="7" style="73" bestFit="1" customWidth="1"/>
    <col min="87" max="87" width="3.85546875" style="73" bestFit="1" customWidth="1"/>
    <col min="88" max="90" width="2" style="73" bestFit="1" customWidth="1"/>
    <col min="91" max="96" width="3" style="73" bestFit="1" customWidth="1"/>
    <col min="97" max="97" width="7" style="73" bestFit="1" customWidth="1"/>
    <col min="98" max="98" width="3.85546875" style="73" bestFit="1" customWidth="1"/>
    <col min="99" max="101" width="2" style="73" bestFit="1" customWidth="1"/>
    <col min="102" max="107" width="3" style="73" bestFit="1" customWidth="1"/>
    <col min="108" max="108" width="7" style="73" bestFit="1" customWidth="1"/>
    <col min="109" max="109" width="3.85546875" style="73" bestFit="1" customWidth="1"/>
    <col min="110" max="111" width="2" style="73" bestFit="1" customWidth="1"/>
    <col min="112" max="118" width="3" style="73" bestFit="1" customWidth="1"/>
    <col min="119" max="119" width="7" style="73" bestFit="1" customWidth="1"/>
    <col min="120" max="120" width="4.85546875" style="73" bestFit="1" customWidth="1"/>
    <col min="121" max="122" width="2" style="73" bestFit="1" customWidth="1"/>
    <col min="123" max="133" width="3" style="73" bestFit="1" customWidth="1"/>
    <col min="134" max="134" width="8" style="73" bestFit="1" customWidth="1"/>
    <col min="135" max="135" width="4.85546875" style="73" bestFit="1" customWidth="1"/>
    <col min="136" max="147" width="3" style="73" bestFit="1" customWidth="1"/>
    <col min="148" max="148" width="8" style="73" bestFit="1" customWidth="1"/>
    <col min="149" max="149" width="4.85546875" style="73" bestFit="1" customWidth="1"/>
    <col min="150" max="162" width="3" style="73" bestFit="1" customWidth="1"/>
    <col min="163" max="163" width="8" style="73" bestFit="1" customWidth="1"/>
    <col min="164" max="164" width="10.7109375" style="73" bestFit="1" customWidth="1"/>
    <col min="165" max="16384" width="11.5703125" style="73"/>
  </cols>
  <sheetData>
    <row r="1" spans="1:13">
      <c r="A1" s="105" t="s">
        <v>140</v>
      </c>
      <c r="B1" s="105" t="s">
        <v>141</v>
      </c>
      <c r="C1" s="105" t="s">
        <v>142</v>
      </c>
      <c r="D1" s="105" t="s">
        <v>143</v>
      </c>
      <c r="E1" s="105" t="s">
        <v>144</v>
      </c>
      <c r="F1" s="105" t="s">
        <v>145</v>
      </c>
      <c r="G1" s="105" t="s">
        <v>146</v>
      </c>
      <c r="H1" s="105" t="s">
        <v>147</v>
      </c>
      <c r="I1" s="105" t="s">
        <v>148</v>
      </c>
      <c r="K1" s="175" t="s">
        <v>145</v>
      </c>
      <c r="L1" s="175" t="s">
        <v>149</v>
      </c>
      <c r="M1" s="175" t="s">
        <v>150</v>
      </c>
    </row>
    <row r="2" spans="1:13">
      <c r="A2" s="106">
        <v>37987</v>
      </c>
      <c r="B2" s="77">
        <v>0</v>
      </c>
      <c r="C2" s="77">
        <v>27</v>
      </c>
      <c r="D2" s="77">
        <v>0</v>
      </c>
      <c r="E2" s="77">
        <v>36</v>
      </c>
      <c r="F2" s="77">
        <f t="shared" ref="F2:F65" si="0">MONTH(A2)</f>
        <v>1</v>
      </c>
      <c r="G2" s="77">
        <f t="shared" ref="G2:G65" si="1">YEAR(A2)</f>
        <v>2004</v>
      </c>
      <c r="H2" s="77">
        <f>SUM(Interesse_digital[[#This Row],[hotel ''ro'']],Interesse_digital[[#This Row],[pousada ''ro'']])</f>
        <v>0</v>
      </c>
      <c r="I2" s="77">
        <f>SUM(Interesse_digital[[#This Row],[hotel ''cf'']],Interesse_digital[[#This Row],[pousada ''cf'']])</f>
        <v>63</v>
      </c>
      <c r="K2" s="77">
        <v>1</v>
      </c>
      <c r="L2" s="107">
        <v>2617</v>
      </c>
      <c r="M2" s="107">
        <v>616</v>
      </c>
    </row>
    <row r="3" spans="1:13">
      <c r="A3" s="106">
        <v>38018</v>
      </c>
      <c r="B3" s="77">
        <v>16</v>
      </c>
      <c r="C3" s="77">
        <v>22</v>
      </c>
      <c r="D3" s="77">
        <v>0</v>
      </c>
      <c r="E3" s="77">
        <v>20</v>
      </c>
      <c r="F3" s="77">
        <f t="shared" si="0"/>
        <v>2</v>
      </c>
      <c r="G3" s="77">
        <f t="shared" si="1"/>
        <v>2004</v>
      </c>
      <c r="H3" s="77">
        <f>SUM(Interesse_digital[[#This Row],[hotel ''ro'']],Interesse_digital[[#This Row],[pousada ''ro'']])</f>
        <v>16</v>
      </c>
      <c r="I3" s="77">
        <f>SUM(Interesse_digital[[#This Row],[hotel ''cf'']],Interesse_digital[[#This Row],[pousada ''cf'']])</f>
        <v>42</v>
      </c>
      <c r="K3" s="77">
        <v>2</v>
      </c>
      <c r="L3" s="107">
        <v>1447</v>
      </c>
      <c r="M3" s="107">
        <v>355</v>
      </c>
    </row>
    <row r="4" spans="1:13">
      <c r="A4" s="106">
        <v>38047</v>
      </c>
      <c r="B4" s="77">
        <v>0</v>
      </c>
      <c r="C4" s="77">
        <v>0</v>
      </c>
      <c r="D4" s="77">
        <v>0</v>
      </c>
      <c r="E4" s="77">
        <v>0</v>
      </c>
      <c r="F4" s="77">
        <f t="shared" si="0"/>
        <v>3</v>
      </c>
      <c r="G4" s="77">
        <f t="shared" si="1"/>
        <v>2004</v>
      </c>
      <c r="H4" s="77">
        <f>SUM(Interesse_digital[[#This Row],[hotel ''ro'']],Interesse_digital[[#This Row],[pousada ''ro'']])</f>
        <v>0</v>
      </c>
      <c r="I4" s="77">
        <f>SUM(Interesse_digital[[#This Row],[hotel ''cf'']],Interesse_digital[[#This Row],[pousada ''cf'']])</f>
        <v>0</v>
      </c>
      <c r="K4" s="77">
        <v>3</v>
      </c>
      <c r="L4" s="107">
        <v>1109</v>
      </c>
      <c r="M4" s="107">
        <v>287</v>
      </c>
    </row>
    <row r="5" spans="1:13">
      <c r="A5" s="106">
        <v>38078</v>
      </c>
      <c r="B5" s="77">
        <v>0</v>
      </c>
      <c r="C5" s="77">
        <v>21</v>
      </c>
      <c r="D5" s="77">
        <v>0</v>
      </c>
      <c r="E5" s="77">
        <v>0</v>
      </c>
      <c r="F5" s="77">
        <f t="shared" si="0"/>
        <v>4</v>
      </c>
      <c r="G5" s="77">
        <f t="shared" si="1"/>
        <v>2004</v>
      </c>
      <c r="H5" s="77">
        <f>SUM(Interesse_digital[[#This Row],[hotel ''ro'']],Interesse_digital[[#This Row],[pousada ''ro'']])</f>
        <v>0</v>
      </c>
      <c r="I5" s="77">
        <f>SUM(Interesse_digital[[#This Row],[hotel ''cf'']],Interesse_digital[[#This Row],[pousada ''cf'']])</f>
        <v>21</v>
      </c>
      <c r="K5" s="77">
        <v>4</v>
      </c>
      <c r="L5" s="107">
        <v>813</v>
      </c>
      <c r="M5" s="107">
        <v>216</v>
      </c>
    </row>
    <row r="6" spans="1:13">
      <c r="A6" s="106">
        <v>38108</v>
      </c>
      <c r="B6" s="77">
        <v>0</v>
      </c>
      <c r="C6" s="77">
        <v>0</v>
      </c>
      <c r="D6" s="77">
        <v>0</v>
      </c>
      <c r="E6" s="77">
        <v>0</v>
      </c>
      <c r="F6" s="77">
        <f t="shared" si="0"/>
        <v>5</v>
      </c>
      <c r="G6" s="77">
        <f t="shared" si="1"/>
        <v>2004</v>
      </c>
      <c r="H6" s="77">
        <f>SUM(Interesse_digital[[#This Row],[hotel ''ro'']],Interesse_digital[[#This Row],[pousada ''ro'']])</f>
        <v>0</v>
      </c>
      <c r="I6" s="77">
        <f>SUM(Interesse_digital[[#This Row],[hotel ''cf'']],Interesse_digital[[#This Row],[pousada ''cf'']])</f>
        <v>0</v>
      </c>
      <c r="K6" s="77">
        <v>5</v>
      </c>
      <c r="L6" s="107">
        <v>581</v>
      </c>
      <c r="M6" s="107">
        <v>195</v>
      </c>
    </row>
    <row r="7" spans="1:13">
      <c r="A7" s="106">
        <v>38139</v>
      </c>
      <c r="B7" s="77">
        <v>0</v>
      </c>
      <c r="C7" s="77">
        <v>12</v>
      </c>
      <c r="D7" s="77">
        <v>0</v>
      </c>
      <c r="E7" s="77">
        <v>16</v>
      </c>
      <c r="F7" s="77">
        <f t="shared" si="0"/>
        <v>6</v>
      </c>
      <c r="G7" s="77">
        <f t="shared" si="1"/>
        <v>2004</v>
      </c>
      <c r="H7" s="77">
        <f>SUM(Interesse_digital[[#This Row],[hotel ''ro'']],Interesse_digital[[#This Row],[pousada ''ro'']])</f>
        <v>0</v>
      </c>
      <c r="I7" s="77">
        <f>SUM(Interesse_digital[[#This Row],[hotel ''cf'']],Interesse_digital[[#This Row],[pousada ''cf'']])</f>
        <v>28</v>
      </c>
      <c r="K7" s="77">
        <v>6</v>
      </c>
      <c r="L7" s="107">
        <v>599</v>
      </c>
      <c r="M7" s="107">
        <v>200</v>
      </c>
    </row>
    <row r="8" spans="1:13">
      <c r="A8" s="106">
        <v>38169</v>
      </c>
      <c r="B8" s="77">
        <v>0</v>
      </c>
      <c r="C8" s="77">
        <v>15</v>
      </c>
      <c r="D8" s="77">
        <v>0</v>
      </c>
      <c r="E8" s="77">
        <v>0</v>
      </c>
      <c r="F8" s="77">
        <f t="shared" si="0"/>
        <v>7</v>
      </c>
      <c r="G8" s="77">
        <f t="shared" si="1"/>
        <v>2004</v>
      </c>
      <c r="H8" s="77">
        <f>SUM(Interesse_digital[[#This Row],[hotel ''ro'']],Interesse_digital[[#This Row],[pousada ''ro'']])</f>
        <v>0</v>
      </c>
      <c r="I8" s="77">
        <f>SUM(Interesse_digital[[#This Row],[hotel ''cf'']],Interesse_digital[[#This Row],[pousada ''cf'']])</f>
        <v>15</v>
      </c>
      <c r="K8" s="77">
        <v>7</v>
      </c>
      <c r="L8" s="107">
        <v>896</v>
      </c>
      <c r="M8" s="107">
        <v>206</v>
      </c>
    </row>
    <row r="9" spans="1:13">
      <c r="A9" s="106">
        <v>38200</v>
      </c>
      <c r="B9" s="77">
        <v>0</v>
      </c>
      <c r="C9" s="77">
        <v>0</v>
      </c>
      <c r="D9" s="77">
        <v>0</v>
      </c>
      <c r="E9" s="77">
        <v>12</v>
      </c>
      <c r="F9" s="77">
        <f t="shared" si="0"/>
        <v>8</v>
      </c>
      <c r="G9" s="77">
        <f t="shared" si="1"/>
        <v>2004</v>
      </c>
      <c r="H9" s="77">
        <f>SUM(Interesse_digital[[#This Row],[hotel ''ro'']],Interesse_digital[[#This Row],[pousada ''ro'']])</f>
        <v>0</v>
      </c>
      <c r="I9" s="77">
        <f>SUM(Interesse_digital[[#This Row],[hotel ''cf'']],Interesse_digital[[#This Row],[pousada ''cf'']])</f>
        <v>12</v>
      </c>
      <c r="K9" s="77">
        <v>8</v>
      </c>
      <c r="L9" s="107">
        <v>970</v>
      </c>
      <c r="M9" s="107">
        <v>230</v>
      </c>
    </row>
    <row r="10" spans="1:13">
      <c r="A10" s="106">
        <v>38231</v>
      </c>
      <c r="B10" s="77">
        <v>0</v>
      </c>
      <c r="C10" s="77">
        <v>21</v>
      </c>
      <c r="D10" s="77">
        <v>0</v>
      </c>
      <c r="E10" s="77">
        <v>23</v>
      </c>
      <c r="F10" s="77">
        <f t="shared" si="0"/>
        <v>9</v>
      </c>
      <c r="G10" s="77">
        <f t="shared" si="1"/>
        <v>2004</v>
      </c>
      <c r="H10" s="77">
        <f>SUM(Interesse_digital[[#This Row],[hotel ''ro'']],Interesse_digital[[#This Row],[pousada ''ro'']])</f>
        <v>0</v>
      </c>
      <c r="I10" s="77">
        <f>SUM(Interesse_digital[[#This Row],[hotel ''cf'']],Interesse_digital[[#This Row],[pousada ''cf'']])</f>
        <v>44</v>
      </c>
      <c r="K10" s="77">
        <v>9</v>
      </c>
      <c r="L10" s="107">
        <v>1287</v>
      </c>
      <c r="M10" s="107">
        <v>259</v>
      </c>
    </row>
    <row r="11" spans="1:13">
      <c r="A11" s="106">
        <v>38261</v>
      </c>
      <c r="B11" s="77">
        <v>0</v>
      </c>
      <c r="C11" s="77">
        <v>18</v>
      </c>
      <c r="D11" s="77">
        <v>0</v>
      </c>
      <c r="E11" s="77">
        <v>22</v>
      </c>
      <c r="F11" s="77">
        <f t="shared" si="0"/>
        <v>10</v>
      </c>
      <c r="G11" s="77">
        <f t="shared" si="1"/>
        <v>2004</v>
      </c>
      <c r="H11" s="77">
        <f>SUM(Interesse_digital[[#This Row],[hotel ''ro'']],Interesse_digital[[#This Row],[pousada ''ro'']])</f>
        <v>0</v>
      </c>
      <c r="I11" s="77">
        <f>SUM(Interesse_digital[[#This Row],[hotel ''cf'']],Interesse_digital[[#This Row],[pousada ''cf'']])</f>
        <v>40</v>
      </c>
      <c r="K11" s="77">
        <v>10</v>
      </c>
      <c r="L11" s="107">
        <v>1528</v>
      </c>
      <c r="M11" s="107">
        <v>313</v>
      </c>
    </row>
    <row r="12" spans="1:13">
      <c r="A12" s="106">
        <v>38292</v>
      </c>
      <c r="B12" s="77">
        <v>0</v>
      </c>
      <c r="C12" s="77">
        <v>22</v>
      </c>
      <c r="D12" s="77">
        <v>0</v>
      </c>
      <c r="E12" s="77">
        <v>18</v>
      </c>
      <c r="F12" s="77">
        <f t="shared" si="0"/>
        <v>11</v>
      </c>
      <c r="G12" s="77">
        <f t="shared" si="1"/>
        <v>2004</v>
      </c>
      <c r="H12" s="77">
        <f>SUM(Interesse_digital[[#This Row],[hotel ''ro'']],Interesse_digital[[#This Row],[pousada ''ro'']])</f>
        <v>0</v>
      </c>
      <c r="I12" s="77">
        <f>SUM(Interesse_digital[[#This Row],[hotel ''cf'']],Interesse_digital[[#This Row],[pousada ''cf'']])</f>
        <v>40</v>
      </c>
      <c r="K12" s="77">
        <v>11</v>
      </c>
      <c r="L12" s="107">
        <v>1604</v>
      </c>
      <c r="M12" s="107">
        <v>348</v>
      </c>
    </row>
    <row r="13" spans="1:13">
      <c r="A13" s="106">
        <v>38322</v>
      </c>
      <c r="B13" s="77">
        <v>0</v>
      </c>
      <c r="C13" s="77">
        <v>34</v>
      </c>
      <c r="D13" s="77">
        <v>14</v>
      </c>
      <c r="E13" s="77">
        <v>38</v>
      </c>
      <c r="F13" s="77">
        <f t="shared" si="0"/>
        <v>12</v>
      </c>
      <c r="G13" s="77">
        <f t="shared" si="1"/>
        <v>2004</v>
      </c>
      <c r="H13" s="77">
        <f>SUM(Interesse_digital[[#This Row],[hotel ''ro'']],Interesse_digital[[#This Row],[pousada ''ro'']])</f>
        <v>14</v>
      </c>
      <c r="I13" s="77">
        <f>SUM(Interesse_digital[[#This Row],[hotel ''cf'']],Interesse_digital[[#This Row],[pousada ''cf'']])</f>
        <v>72</v>
      </c>
      <c r="K13" s="77">
        <v>12</v>
      </c>
      <c r="L13" s="107">
        <v>1968</v>
      </c>
      <c r="M13" s="107">
        <v>433</v>
      </c>
    </row>
    <row r="14" spans="1:13">
      <c r="A14" s="106">
        <v>38353</v>
      </c>
      <c r="B14" s="77">
        <v>9</v>
      </c>
      <c r="C14" s="77">
        <v>32</v>
      </c>
      <c r="D14" s="77">
        <v>10</v>
      </c>
      <c r="E14" s="77">
        <v>48</v>
      </c>
      <c r="F14" s="77">
        <f t="shared" si="0"/>
        <v>1</v>
      </c>
      <c r="G14" s="77">
        <f t="shared" si="1"/>
        <v>2005</v>
      </c>
      <c r="H14" s="77">
        <f>SUM(Interesse_digital[[#This Row],[hotel ''ro'']],Interesse_digital[[#This Row],[pousada ''ro'']])</f>
        <v>19</v>
      </c>
      <c r="I14" s="77">
        <f>SUM(Interesse_digital[[#This Row],[hotel ''cf'']],Interesse_digital[[#This Row],[pousada ''cf'']])</f>
        <v>80</v>
      </c>
    </row>
    <row r="15" spans="1:13">
      <c r="A15" s="106">
        <v>38384</v>
      </c>
      <c r="B15" s="77">
        <v>0</v>
      </c>
      <c r="C15" s="77">
        <v>16</v>
      </c>
      <c r="D15" s="77">
        <v>0</v>
      </c>
      <c r="E15" s="77">
        <v>22</v>
      </c>
      <c r="F15" s="77">
        <f t="shared" si="0"/>
        <v>2</v>
      </c>
      <c r="G15" s="77">
        <f t="shared" si="1"/>
        <v>2005</v>
      </c>
      <c r="H15" s="77">
        <f>SUM(Interesse_digital[[#This Row],[hotel ''ro'']],Interesse_digital[[#This Row],[pousada ''ro'']])</f>
        <v>0</v>
      </c>
      <c r="I15" s="77">
        <f>SUM(Interesse_digital[[#This Row],[hotel ''cf'']],Interesse_digital[[#This Row],[pousada ''cf'']])</f>
        <v>38</v>
      </c>
      <c r="K15" s="105" t="s">
        <v>146</v>
      </c>
      <c r="L15" s="105" t="s">
        <v>151</v>
      </c>
      <c r="M15" s="105" t="s">
        <v>152</v>
      </c>
    </row>
    <row r="16" spans="1:13">
      <c r="A16" s="106">
        <v>38412</v>
      </c>
      <c r="B16" s="77">
        <v>0</v>
      </c>
      <c r="C16" s="77">
        <v>20</v>
      </c>
      <c r="D16" s="77">
        <v>0</v>
      </c>
      <c r="E16" s="77">
        <v>0</v>
      </c>
      <c r="F16" s="77">
        <f t="shared" si="0"/>
        <v>3</v>
      </c>
      <c r="G16" s="77">
        <f t="shared" si="1"/>
        <v>2005</v>
      </c>
      <c r="H16" s="77">
        <f>SUM(Interesse_digital[[#This Row],[hotel ''ro'']],Interesse_digital[[#This Row],[pousada ''ro'']])</f>
        <v>0</v>
      </c>
      <c r="I16" s="77">
        <f>SUM(Interesse_digital[[#This Row],[hotel ''cf'']],Interesse_digital[[#This Row],[pousada ''cf'']])</f>
        <v>20</v>
      </c>
      <c r="K16" s="77">
        <v>2004</v>
      </c>
      <c r="L16" s="107">
        <v>377</v>
      </c>
      <c r="M16" s="107">
        <v>30</v>
      </c>
    </row>
    <row r="17" spans="1:13">
      <c r="A17" s="106">
        <v>38443</v>
      </c>
      <c r="B17" s="77">
        <v>0</v>
      </c>
      <c r="C17" s="77">
        <v>0</v>
      </c>
      <c r="D17" s="77">
        <v>0</v>
      </c>
      <c r="E17" s="77">
        <v>0</v>
      </c>
      <c r="F17" s="77">
        <f t="shared" si="0"/>
        <v>4</v>
      </c>
      <c r="G17" s="77">
        <f t="shared" si="1"/>
        <v>2005</v>
      </c>
      <c r="H17" s="77">
        <f>SUM(Interesse_digital[[#This Row],[hotel ''ro'']],Interesse_digital[[#This Row],[pousada ''ro'']])</f>
        <v>0</v>
      </c>
      <c r="I17" s="77">
        <f>SUM(Interesse_digital[[#This Row],[hotel ''cf'']],Interesse_digital[[#This Row],[pousada ''cf'']])</f>
        <v>0</v>
      </c>
      <c r="K17" s="77">
        <v>2005</v>
      </c>
      <c r="L17" s="107">
        <v>396</v>
      </c>
      <c r="M17" s="107">
        <v>64</v>
      </c>
    </row>
    <row r="18" spans="1:13">
      <c r="A18" s="106">
        <v>38473</v>
      </c>
      <c r="B18" s="77">
        <v>0</v>
      </c>
      <c r="C18" s="77">
        <v>0</v>
      </c>
      <c r="D18" s="77">
        <v>7</v>
      </c>
      <c r="E18" s="77">
        <v>0</v>
      </c>
      <c r="F18" s="77">
        <f t="shared" si="0"/>
        <v>5</v>
      </c>
      <c r="G18" s="77">
        <f t="shared" si="1"/>
        <v>2005</v>
      </c>
      <c r="H18" s="77">
        <f>SUM(Interesse_digital[[#This Row],[hotel ''ro'']],Interesse_digital[[#This Row],[pousada ''ro'']])</f>
        <v>7</v>
      </c>
      <c r="I18" s="77">
        <f>SUM(Interesse_digital[[#This Row],[hotel ''cf'']],Interesse_digital[[#This Row],[pousada ''cf'']])</f>
        <v>0</v>
      </c>
      <c r="K18" s="77">
        <v>2006</v>
      </c>
      <c r="L18" s="107">
        <v>541</v>
      </c>
      <c r="M18" s="107">
        <v>127</v>
      </c>
    </row>
    <row r="19" spans="1:13">
      <c r="A19" s="106">
        <v>38504</v>
      </c>
      <c r="B19" s="77">
        <v>0</v>
      </c>
      <c r="C19" s="77">
        <v>0</v>
      </c>
      <c r="D19" s="77">
        <v>0</v>
      </c>
      <c r="E19" s="77">
        <v>10</v>
      </c>
      <c r="F19" s="77">
        <f t="shared" si="0"/>
        <v>6</v>
      </c>
      <c r="G19" s="77">
        <f t="shared" si="1"/>
        <v>2005</v>
      </c>
      <c r="H19" s="77">
        <f>SUM(Interesse_digital[[#This Row],[hotel ''ro'']],Interesse_digital[[#This Row],[pousada ''ro'']])</f>
        <v>0</v>
      </c>
      <c r="I19" s="77">
        <f>SUM(Interesse_digital[[#This Row],[hotel ''cf'']],Interesse_digital[[#This Row],[pousada ''cf'']])</f>
        <v>10</v>
      </c>
      <c r="K19" s="77">
        <v>2007</v>
      </c>
      <c r="L19" s="107">
        <v>603</v>
      </c>
      <c r="M19" s="107">
        <v>182</v>
      </c>
    </row>
    <row r="20" spans="1:13">
      <c r="A20" s="106">
        <v>38534</v>
      </c>
      <c r="B20" s="77">
        <v>0</v>
      </c>
      <c r="C20" s="77">
        <v>14</v>
      </c>
      <c r="D20" s="77">
        <v>0</v>
      </c>
      <c r="E20" s="77">
        <v>14</v>
      </c>
      <c r="F20" s="77">
        <f t="shared" si="0"/>
        <v>7</v>
      </c>
      <c r="G20" s="77">
        <f t="shared" si="1"/>
        <v>2005</v>
      </c>
      <c r="H20" s="77">
        <f>SUM(Interesse_digital[[#This Row],[hotel ''ro'']],Interesse_digital[[#This Row],[pousada ''ro'']])</f>
        <v>0</v>
      </c>
      <c r="I20" s="77">
        <f>SUM(Interesse_digital[[#This Row],[hotel ''cf'']],Interesse_digital[[#This Row],[pousada ''cf'']])</f>
        <v>28</v>
      </c>
      <c r="K20" s="77">
        <v>2008</v>
      </c>
      <c r="L20" s="107">
        <v>676</v>
      </c>
      <c r="M20" s="107">
        <v>207</v>
      </c>
    </row>
    <row r="21" spans="1:13">
      <c r="A21" s="106">
        <v>38565</v>
      </c>
      <c r="B21" s="77">
        <v>0</v>
      </c>
      <c r="C21" s="77">
        <v>12</v>
      </c>
      <c r="D21" s="77">
        <v>0</v>
      </c>
      <c r="E21" s="77">
        <v>15</v>
      </c>
      <c r="F21" s="77">
        <f t="shared" si="0"/>
        <v>8</v>
      </c>
      <c r="G21" s="77">
        <f t="shared" si="1"/>
        <v>2005</v>
      </c>
      <c r="H21" s="77">
        <f>SUM(Interesse_digital[[#This Row],[hotel ''ro'']],Interesse_digital[[#This Row],[pousada ''ro'']])</f>
        <v>0</v>
      </c>
      <c r="I21" s="77">
        <f>SUM(Interesse_digital[[#This Row],[hotel ''cf'']],Interesse_digital[[#This Row],[pousada ''cf'']])</f>
        <v>27</v>
      </c>
      <c r="K21" s="77">
        <v>2009</v>
      </c>
      <c r="L21" s="107">
        <v>941</v>
      </c>
      <c r="M21" s="107">
        <v>267</v>
      </c>
    </row>
    <row r="22" spans="1:13">
      <c r="A22" s="106">
        <v>38596</v>
      </c>
      <c r="B22" s="77">
        <v>0</v>
      </c>
      <c r="C22" s="77">
        <v>10</v>
      </c>
      <c r="D22" s="77">
        <v>0</v>
      </c>
      <c r="E22" s="77">
        <v>10</v>
      </c>
      <c r="F22" s="77">
        <f t="shared" si="0"/>
        <v>9</v>
      </c>
      <c r="G22" s="77">
        <f t="shared" si="1"/>
        <v>2005</v>
      </c>
      <c r="H22" s="77">
        <f>SUM(Interesse_digital[[#This Row],[hotel ''ro'']],Interesse_digital[[#This Row],[pousada ''ro'']])</f>
        <v>0</v>
      </c>
      <c r="I22" s="77">
        <f>SUM(Interesse_digital[[#This Row],[hotel ''cf'']],Interesse_digital[[#This Row],[pousada ''cf'']])</f>
        <v>20</v>
      </c>
      <c r="K22" s="77">
        <v>2010</v>
      </c>
      <c r="L22" s="107">
        <v>851</v>
      </c>
      <c r="M22" s="107">
        <v>246</v>
      </c>
    </row>
    <row r="23" spans="1:13">
      <c r="A23" s="106">
        <v>38626</v>
      </c>
      <c r="B23" s="77">
        <v>6</v>
      </c>
      <c r="C23" s="77">
        <v>21</v>
      </c>
      <c r="D23" s="77">
        <v>7</v>
      </c>
      <c r="E23" s="77">
        <v>28</v>
      </c>
      <c r="F23" s="77">
        <f t="shared" si="0"/>
        <v>10</v>
      </c>
      <c r="G23" s="77">
        <f t="shared" si="1"/>
        <v>2005</v>
      </c>
      <c r="H23" s="77">
        <f>SUM(Interesse_digital[[#This Row],[hotel ''ro'']],Interesse_digital[[#This Row],[pousada ''ro'']])</f>
        <v>13</v>
      </c>
      <c r="I23" s="77">
        <f>SUM(Interesse_digital[[#This Row],[hotel ''cf'']],Interesse_digital[[#This Row],[pousada ''cf'']])</f>
        <v>49</v>
      </c>
      <c r="K23" s="77">
        <v>2011</v>
      </c>
      <c r="L23" s="107">
        <v>793</v>
      </c>
      <c r="M23" s="107">
        <v>240</v>
      </c>
    </row>
    <row r="24" spans="1:13">
      <c r="A24" s="106">
        <v>38657</v>
      </c>
      <c r="B24" s="77">
        <v>0</v>
      </c>
      <c r="C24" s="77">
        <v>29</v>
      </c>
      <c r="D24" s="77">
        <v>12</v>
      </c>
      <c r="E24" s="77">
        <v>28</v>
      </c>
      <c r="F24" s="77">
        <f t="shared" si="0"/>
        <v>11</v>
      </c>
      <c r="G24" s="77">
        <f t="shared" si="1"/>
        <v>2005</v>
      </c>
      <c r="H24" s="77">
        <f>SUM(Interesse_digital[[#This Row],[hotel ''ro'']],Interesse_digital[[#This Row],[pousada ''ro'']])</f>
        <v>12</v>
      </c>
      <c r="I24" s="77">
        <f>SUM(Interesse_digital[[#This Row],[hotel ''cf'']],Interesse_digital[[#This Row],[pousada ''cf'']])</f>
        <v>57</v>
      </c>
      <c r="K24" s="77">
        <v>2012</v>
      </c>
      <c r="L24" s="107">
        <v>768</v>
      </c>
      <c r="M24" s="107">
        <v>248</v>
      </c>
    </row>
    <row r="25" spans="1:13">
      <c r="A25" s="106">
        <v>38687</v>
      </c>
      <c r="B25" s="77">
        <v>0</v>
      </c>
      <c r="C25" s="77">
        <v>29</v>
      </c>
      <c r="D25" s="77">
        <v>13</v>
      </c>
      <c r="E25" s="77">
        <v>38</v>
      </c>
      <c r="F25" s="77">
        <f t="shared" si="0"/>
        <v>12</v>
      </c>
      <c r="G25" s="77">
        <f t="shared" si="1"/>
        <v>2005</v>
      </c>
      <c r="H25" s="77">
        <f>SUM(Interesse_digital[[#This Row],[hotel ''ro'']],Interesse_digital[[#This Row],[pousada ''ro'']])</f>
        <v>13</v>
      </c>
      <c r="I25" s="77">
        <f>SUM(Interesse_digital[[#This Row],[hotel ''cf'']],Interesse_digital[[#This Row],[pousada ''cf'']])</f>
        <v>67</v>
      </c>
      <c r="K25" s="77">
        <v>2013</v>
      </c>
      <c r="L25" s="107">
        <v>747</v>
      </c>
      <c r="M25" s="107">
        <v>216</v>
      </c>
    </row>
    <row r="26" spans="1:13">
      <c r="A26" s="106">
        <v>38718</v>
      </c>
      <c r="B26" s="77">
        <v>8</v>
      </c>
      <c r="C26" s="77">
        <v>43</v>
      </c>
      <c r="D26" s="77">
        <v>21</v>
      </c>
      <c r="E26" s="77">
        <v>58</v>
      </c>
      <c r="F26" s="77">
        <f t="shared" si="0"/>
        <v>1</v>
      </c>
      <c r="G26" s="77">
        <f t="shared" si="1"/>
        <v>2006</v>
      </c>
      <c r="H26" s="77">
        <f>SUM(Interesse_digital[[#This Row],[hotel ''ro'']],Interesse_digital[[#This Row],[pousada ''ro'']])</f>
        <v>29</v>
      </c>
      <c r="I26" s="77">
        <f>SUM(Interesse_digital[[#This Row],[hotel ''cf'']],Interesse_digital[[#This Row],[pousada ''cf'']])</f>
        <v>101</v>
      </c>
      <c r="K26" s="77">
        <v>2014</v>
      </c>
      <c r="L26" s="107">
        <v>843</v>
      </c>
      <c r="M26" s="107">
        <v>238</v>
      </c>
    </row>
    <row r="27" spans="1:13">
      <c r="A27" s="106">
        <v>38749</v>
      </c>
      <c r="B27" s="77">
        <v>0</v>
      </c>
      <c r="C27" s="77">
        <v>16</v>
      </c>
      <c r="D27" s="77">
        <v>12</v>
      </c>
      <c r="E27" s="77">
        <v>27</v>
      </c>
      <c r="F27" s="77">
        <f t="shared" si="0"/>
        <v>2</v>
      </c>
      <c r="G27" s="77">
        <f t="shared" si="1"/>
        <v>2006</v>
      </c>
      <c r="H27" s="77">
        <f>SUM(Interesse_digital[[#This Row],[hotel ''ro'']],Interesse_digital[[#This Row],[pousada ''ro'']])</f>
        <v>12</v>
      </c>
      <c r="I27" s="77">
        <f>SUM(Interesse_digital[[#This Row],[hotel ''cf'']],Interesse_digital[[#This Row],[pousada ''cf'']])</f>
        <v>43</v>
      </c>
      <c r="K27" s="77">
        <v>2015</v>
      </c>
      <c r="L27" s="107">
        <v>887</v>
      </c>
      <c r="M27" s="107">
        <v>209</v>
      </c>
    </row>
    <row r="28" spans="1:13">
      <c r="A28" s="106">
        <v>38777</v>
      </c>
      <c r="B28" s="77">
        <v>5</v>
      </c>
      <c r="C28" s="77">
        <v>10</v>
      </c>
      <c r="D28" s="77">
        <v>7</v>
      </c>
      <c r="E28" s="77">
        <v>18</v>
      </c>
      <c r="F28" s="77">
        <f t="shared" si="0"/>
        <v>3</v>
      </c>
      <c r="G28" s="77">
        <f t="shared" si="1"/>
        <v>2006</v>
      </c>
      <c r="H28" s="77">
        <f>SUM(Interesse_digital[[#This Row],[hotel ''ro'']],Interesse_digital[[#This Row],[pousada ''ro'']])</f>
        <v>12</v>
      </c>
      <c r="I28" s="77">
        <f>SUM(Interesse_digital[[#This Row],[hotel ''cf'']],Interesse_digital[[#This Row],[pousada ''cf'']])</f>
        <v>28</v>
      </c>
      <c r="K28" s="77">
        <v>2016</v>
      </c>
      <c r="L28" s="107">
        <v>800</v>
      </c>
      <c r="M28" s="107">
        <v>148</v>
      </c>
    </row>
    <row r="29" spans="1:13">
      <c r="A29" s="106">
        <v>38808</v>
      </c>
      <c r="B29" s="77">
        <v>0</v>
      </c>
      <c r="C29" s="77">
        <v>8</v>
      </c>
      <c r="D29" s="77">
        <v>0</v>
      </c>
      <c r="E29" s="77">
        <v>11</v>
      </c>
      <c r="F29" s="77">
        <f t="shared" si="0"/>
        <v>4</v>
      </c>
      <c r="G29" s="77">
        <f t="shared" si="1"/>
        <v>2006</v>
      </c>
      <c r="H29" s="77">
        <f>SUM(Interesse_digital[[#This Row],[hotel ''ro'']],Interesse_digital[[#This Row],[pousada ''ro'']])</f>
        <v>0</v>
      </c>
      <c r="I29" s="77">
        <f>SUM(Interesse_digital[[#This Row],[hotel ''cf'']],Interesse_digital[[#This Row],[pousada ''cf'']])</f>
        <v>19</v>
      </c>
      <c r="K29" s="77">
        <v>2017</v>
      </c>
      <c r="L29" s="107">
        <v>869</v>
      </c>
      <c r="M29" s="107">
        <v>130</v>
      </c>
    </row>
    <row r="30" spans="1:13">
      <c r="A30" s="106">
        <v>38838</v>
      </c>
      <c r="B30" s="77">
        <v>0</v>
      </c>
      <c r="C30" s="77">
        <v>8</v>
      </c>
      <c r="D30" s="77">
        <v>6</v>
      </c>
      <c r="E30" s="77">
        <v>10</v>
      </c>
      <c r="F30" s="77">
        <f t="shared" si="0"/>
        <v>5</v>
      </c>
      <c r="G30" s="77">
        <f t="shared" si="1"/>
        <v>2006</v>
      </c>
      <c r="H30" s="77">
        <f>SUM(Interesse_digital[[#This Row],[hotel ''ro'']],Interesse_digital[[#This Row],[pousada ''ro'']])</f>
        <v>6</v>
      </c>
      <c r="I30" s="77">
        <f>SUM(Interesse_digital[[#This Row],[hotel ''cf'']],Interesse_digital[[#This Row],[pousada ''cf'']])</f>
        <v>18</v>
      </c>
      <c r="K30" s="77">
        <v>2018</v>
      </c>
      <c r="L30" s="107">
        <v>858</v>
      </c>
      <c r="M30" s="107">
        <v>148</v>
      </c>
    </row>
    <row r="31" spans="1:13">
      <c r="A31" s="106">
        <v>38869</v>
      </c>
      <c r="B31" s="77">
        <v>0</v>
      </c>
      <c r="C31" s="77">
        <v>8</v>
      </c>
      <c r="D31" s="77">
        <v>6</v>
      </c>
      <c r="E31" s="77">
        <v>7</v>
      </c>
      <c r="F31" s="77">
        <f t="shared" si="0"/>
        <v>6</v>
      </c>
      <c r="G31" s="77">
        <f t="shared" si="1"/>
        <v>2006</v>
      </c>
      <c r="H31" s="77">
        <f>SUM(Interesse_digital[[#This Row],[hotel ''ro'']],Interesse_digital[[#This Row],[pousada ''ro'']])</f>
        <v>6</v>
      </c>
      <c r="I31" s="77">
        <f>SUM(Interesse_digital[[#This Row],[hotel ''cf'']],Interesse_digital[[#This Row],[pousada ''cf'']])</f>
        <v>15</v>
      </c>
      <c r="K31" s="77">
        <v>2019</v>
      </c>
      <c r="L31" s="107">
        <v>813</v>
      </c>
      <c r="M31" s="107">
        <v>149</v>
      </c>
    </row>
    <row r="32" spans="1:13">
      <c r="A32" s="106">
        <v>38899</v>
      </c>
      <c r="B32" s="77">
        <v>0</v>
      </c>
      <c r="C32" s="77">
        <v>17</v>
      </c>
      <c r="D32" s="77">
        <v>0</v>
      </c>
      <c r="E32" s="77">
        <v>22</v>
      </c>
      <c r="F32" s="77">
        <f t="shared" si="0"/>
        <v>7</v>
      </c>
      <c r="G32" s="77">
        <f t="shared" si="1"/>
        <v>2006</v>
      </c>
      <c r="H32" s="77">
        <f>SUM(Interesse_digital[[#This Row],[hotel ''ro'']],Interesse_digital[[#This Row],[pousada ''ro'']])</f>
        <v>0</v>
      </c>
      <c r="I32" s="77">
        <f>SUM(Interesse_digital[[#This Row],[hotel ''cf'']],Interesse_digital[[#This Row],[pousada ''cf'']])</f>
        <v>39</v>
      </c>
      <c r="K32" s="77">
        <v>2020</v>
      </c>
      <c r="L32" s="107">
        <v>615</v>
      </c>
      <c r="M32" s="107">
        <v>126</v>
      </c>
    </row>
    <row r="33" spans="1:13">
      <c r="A33" s="106">
        <v>38930</v>
      </c>
      <c r="B33" s="77">
        <v>0</v>
      </c>
      <c r="C33" s="77">
        <v>16</v>
      </c>
      <c r="D33" s="77">
        <v>8</v>
      </c>
      <c r="E33" s="77">
        <v>17</v>
      </c>
      <c r="F33" s="77">
        <f t="shared" si="0"/>
        <v>8</v>
      </c>
      <c r="G33" s="77">
        <f t="shared" si="1"/>
        <v>2006</v>
      </c>
      <c r="H33" s="77">
        <f>SUM(Interesse_digital[[#This Row],[hotel ''ro'']],Interesse_digital[[#This Row],[pousada ''ro'']])</f>
        <v>8</v>
      </c>
      <c r="I33" s="77">
        <f>SUM(Interesse_digital[[#This Row],[hotel ''cf'']],Interesse_digital[[#This Row],[pousada ''cf'']])</f>
        <v>33</v>
      </c>
      <c r="K33" s="77">
        <v>2021</v>
      </c>
      <c r="L33" s="107">
        <v>622</v>
      </c>
      <c r="M33" s="107">
        <v>129</v>
      </c>
    </row>
    <row r="34" spans="1:13">
      <c r="A34" s="106">
        <v>38961</v>
      </c>
      <c r="B34" s="77">
        <v>0</v>
      </c>
      <c r="C34" s="77">
        <v>20</v>
      </c>
      <c r="D34" s="77">
        <v>8</v>
      </c>
      <c r="E34" s="77">
        <v>25</v>
      </c>
      <c r="F34" s="77">
        <f t="shared" si="0"/>
        <v>9</v>
      </c>
      <c r="G34" s="77">
        <f t="shared" si="1"/>
        <v>2006</v>
      </c>
      <c r="H34" s="77">
        <f>SUM(Interesse_digital[[#This Row],[hotel ''ro'']],Interesse_digital[[#This Row],[pousada ''ro'']])</f>
        <v>8</v>
      </c>
      <c r="I34" s="77">
        <f>SUM(Interesse_digital[[#This Row],[hotel ''cf'']],Interesse_digital[[#This Row],[pousada ''cf'']])</f>
        <v>45</v>
      </c>
      <c r="K34" s="77">
        <v>2022</v>
      </c>
      <c r="L34" s="107">
        <v>666</v>
      </c>
      <c r="M34" s="107">
        <v>144</v>
      </c>
    </row>
    <row r="35" spans="1:13">
      <c r="A35" s="106">
        <v>38991</v>
      </c>
      <c r="B35" s="77">
        <v>0</v>
      </c>
      <c r="C35" s="77">
        <v>20</v>
      </c>
      <c r="D35" s="77">
        <v>8</v>
      </c>
      <c r="E35" s="77">
        <v>22</v>
      </c>
      <c r="F35" s="77">
        <f t="shared" si="0"/>
        <v>10</v>
      </c>
      <c r="G35" s="77">
        <f t="shared" si="1"/>
        <v>2006</v>
      </c>
      <c r="H35" s="77">
        <f>SUM(Interesse_digital[[#This Row],[hotel ''ro'']],Interesse_digital[[#This Row],[pousada ''ro'']])</f>
        <v>8</v>
      </c>
      <c r="I35" s="77">
        <f>SUM(Interesse_digital[[#This Row],[hotel ''cf'']],Interesse_digital[[#This Row],[pousada ''cf'']])</f>
        <v>42</v>
      </c>
      <c r="K35" s="77">
        <v>2023</v>
      </c>
      <c r="L35" s="107">
        <v>616</v>
      </c>
      <c r="M35" s="107">
        <v>141</v>
      </c>
    </row>
    <row r="36" spans="1:13">
      <c r="A36" s="106">
        <v>39022</v>
      </c>
      <c r="B36" s="77">
        <v>5</v>
      </c>
      <c r="C36" s="77">
        <v>29</v>
      </c>
      <c r="D36" s="77">
        <v>10</v>
      </c>
      <c r="E36" s="77">
        <v>37</v>
      </c>
      <c r="F36" s="77">
        <f t="shared" si="0"/>
        <v>11</v>
      </c>
      <c r="G36" s="77">
        <f t="shared" si="1"/>
        <v>2006</v>
      </c>
      <c r="H36" s="77">
        <f>SUM(Interesse_digital[[#This Row],[hotel ''ro'']],Interesse_digital[[#This Row],[pousada ''ro'']])</f>
        <v>15</v>
      </c>
      <c r="I36" s="77">
        <f>SUM(Interesse_digital[[#This Row],[hotel ''cf'']],Interesse_digital[[#This Row],[pousada ''cf'']])</f>
        <v>66</v>
      </c>
      <c r="K36" s="77">
        <v>2024</v>
      </c>
      <c r="L36" s="107">
        <v>507</v>
      </c>
      <c r="M36" s="107">
        <v>118</v>
      </c>
    </row>
    <row r="37" spans="1:13">
      <c r="A37" s="106">
        <v>39052</v>
      </c>
      <c r="B37" s="77">
        <v>8</v>
      </c>
      <c r="C37" s="77">
        <v>35</v>
      </c>
      <c r="D37" s="77">
        <v>15</v>
      </c>
      <c r="E37" s="77">
        <v>57</v>
      </c>
      <c r="F37" s="77">
        <f t="shared" si="0"/>
        <v>12</v>
      </c>
      <c r="G37" s="77">
        <f t="shared" si="1"/>
        <v>2006</v>
      </c>
      <c r="H37" s="77">
        <f>SUM(Interesse_digital[[#This Row],[hotel ''ro'']],Interesse_digital[[#This Row],[pousada ''ro'']])</f>
        <v>23</v>
      </c>
      <c r="I37" s="77">
        <f>SUM(Interesse_digital[[#This Row],[hotel ''cf'']],Interesse_digital[[#This Row],[pousada ''cf'']])</f>
        <v>92</v>
      </c>
      <c r="K37" s="77">
        <v>2025</v>
      </c>
      <c r="L37" s="107">
        <v>429</v>
      </c>
      <c r="M37" s="107">
        <v>103</v>
      </c>
    </row>
    <row r="38" spans="1:13">
      <c r="A38" s="106">
        <v>39083</v>
      </c>
      <c r="B38" s="77">
        <v>12</v>
      </c>
      <c r="C38" s="77">
        <v>36</v>
      </c>
      <c r="D38" s="77">
        <v>19</v>
      </c>
      <c r="E38" s="77">
        <v>54</v>
      </c>
      <c r="F38" s="77">
        <f t="shared" si="0"/>
        <v>1</v>
      </c>
      <c r="G38" s="77">
        <f t="shared" si="1"/>
        <v>2007</v>
      </c>
      <c r="H38" s="77">
        <f>SUM(Interesse_digital[[#This Row],[hotel ''ro'']],Interesse_digital[[#This Row],[pousada ''ro'']])</f>
        <v>31</v>
      </c>
      <c r="I38" s="77">
        <f>SUM(Interesse_digital[[#This Row],[hotel ''cf'']],Interesse_digital[[#This Row],[pousada ''cf'']])</f>
        <v>90</v>
      </c>
      <c r="K38" s="77">
        <v>2026</v>
      </c>
      <c r="L38" s="107">
        <v>201</v>
      </c>
      <c r="M38" s="107">
        <v>48</v>
      </c>
    </row>
    <row r="39" spans="1:13">
      <c r="A39" s="106">
        <v>39114</v>
      </c>
      <c r="B39" s="77">
        <v>5</v>
      </c>
      <c r="C39" s="77">
        <v>22</v>
      </c>
      <c r="D39" s="77">
        <v>10</v>
      </c>
      <c r="E39" s="77">
        <v>30</v>
      </c>
      <c r="F39" s="77">
        <f t="shared" si="0"/>
        <v>2</v>
      </c>
      <c r="G39" s="77">
        <f t="shared" si="1"/>
        <v>2007</v>
      </c>
      <c r="H39" s="77">
        <f>SUM(Interesse_digital[[#This Row],[hotel ''ro'']],Interesse_digital[[#This Row],[pousada ''ro'']])</f>
        <v>15</v>
      </c>
      <c r="I39" s="77">
        <f>SUM(Interesse_digital[[#This Row],[hotel ''cf'']],Interesse_digital[[#This Row],[pousada ''cf'']])</f>
        <v>52</v>
      </c>
    </row>
    <row r="40" spans="1:13">
      <c r="A40" s="106">
        <v>39142</v>
      </c>
      <c r="B40" s="77">
        <v>4</v>
      </c>
      <c r="C40" s="77">
        <v>20</v>
      </c>
      <c r="D40" s="77">
        <v>9</v>
      </c>
      <c r="E40" s="77">
        <v>22</v>
      </c>
      <c r="F40" s="77">
        <f t="shared" si="0"/>
        <v>3</v>
      </c>
      <c r="G40" s="77">
        <f t="shared" si="1"/>
        <v>2007</v>
      </c>
      <c r="H40" s="77">
        <f>SUM(Interesse_digital[[#This Row],[hotel ''ro'']],Interesse_digital[[#This Row],[pousada ''ro'']])</f>
        <v>13</v>
      </c>
      <c r="I40" s="77">
        <f>SUM(Interesse_digital[[#This Row],[hotel ''cf'']],Interesse_digital[[#This Row],[pousada ''cf'']])</f>
        <v>42</v>
      </c>
    </row>
    <row r="41" spans="1:13">
      <c r="A41" s="106">
        <v>39173</v>
      </c>
      <c r="B41" s="77">
        <v>5</v>
      </c>
      <c r="C41" s="77">
        <v>13</v>
      </c>
      <c r="D41" s="77">
        <v>6</v>
      </c>
      <c r="E41" s="77">
        <v>18</v>
      </c>
      <c r="F41" s="77">
        <f t="shared" si="0"/>
        <v>4</v>
      </c>
      <c r="G41" s="77">
        <f t="shared" si="1"/>
        <v>2007</v>
      </c>
      <c r="H41" s="77">
        <f>SUM(Interesse_digital[[#This Row],[hotel ''ro'']],Interesse_digital[[#This Row],[pousada ''ro'']])</f>
        <v>11</v>
      </c>
      <c r="I41" s="77">
        <f>SUM(Interesse_digital[[#This Row],[hotel ''cf'']],Interesse_digital[[#This Row],[pousada ''cf'']])</f>
        <v>31</v>
      </c>
    </row>
    <row r="42" spans="1:13">
      <c r="A42" s="106">
        <v>39203</v>
      </c>
      <c r="B42" s="77">
        <v>3</v>
      </c>
      <c r="C42" s="77">
        <v>5</v>
      </c>
      <c r="D42" s="77">
        <v>5</v>
      </c>
      <c r="E42" s="77">
        <v>7</v>
      </c>
      <c r="F42" s="77">
        <f t="shared" si="0"/>
        <v>5</v>
      </c>
      <c r="G42" s="77">
        <f t="shared" si="1"/>
        <v>2007</v>
      </c>
      <c r="H42" s="77">
        <f>SUM(Interesse_digital[[#This Row],[hotel ''ro'']],Interesse_digital[[#This Row],[pousada ''ro'']])</f>
        <v>8</v>
      </c>
      <c r="I42" s="77">
        <f>SUM(Interesse_digital[[#This Row],[hotel ''cf'']],Interesse_digital[[#This Row],[pousada ''cf'']])</f>
        <v>12</v>
      </c>
    </row>
    <row r="43" spans="1:13">
      <c r="A43" s="106">
        <v>39234</v>
      </c>
      <c r="B43" s="77">
        <v>4</v>
      </c>
      <c r="C43" s="77">
        <v>9</v>
      </c>
      <c r="D43" s="77">
        <v>6</v>
      </c>
      <c r="E43" s="77">
        <v>11</v>
      </c>
      <c r="F43" s="77">
        <f t="shared" si="0"/>
        <v>6</v>
      </c>
      <c r="G43" s="77">
        <f t="shared" si="1"/>
        <v>2007</v>
      </c>
      <c r="H43" s="77">
        <f>SUM(Interesse_digital[[#This Row],[hotel ''ro'']],Interesse_digital[[#This Row],[pousada ''ro'']])</f>
        <v>10</v>
      </c>
      <c r="I43" s="77">
        <f>SUM(Interesse_digital[[#This Row],[hotel ''cf'']],Interesse_digital[[#This Row],[pousada ''cf'']])</f>
        <v>20</v>
      </c>
    </row>
    <row r="44" spans="1:13">
      <c r="A44" s="106">
        <v>39264</v>
      </c>
      <c r="B44" s="77">
        <v>3</v>
      </c>
      <c r="C44" s="77">
        <v>14</v>
      </c>
      <c r="D44" s="77">
        <v>6</v>
      </c>
      <c r="E44" s="77">
        <v>17</v>
      </c>
      <c r="F44" s="77">
        <f t="shared" si="0"/>
        <v>7</v>
      </c>
      <c r="G44" s="77">
        <f t="shared" si="1"/>
        <v>2007</v>
      </c>
      <c r="H44" s="77">
        <f>SUM(Interesse_digital[[#This Row],[hotel ''ro'']],Interesse_digital[[#This Row],[pousada ''ro'']])</f>
        <v>9</v>
      </c>
      <c r="I44" s="77">
        <f>SUM(Interesse_digital[[#This Row],[hotel ''cf'']],Interesse_digital[[#This Row],[pousada ''cf'']])</f>
        <v>31</v>
      </c>
    </row>
    <row r="45" spans="1:13">
      <c r="A45" s="106">
        <v>39295</v>
      </c>
      <c r="B45" s="77">
        <v>3</v>
      </c>
      <c r="C45" s="77">
        <v>16</v>
      </c>
      <c r="D45" s="77">
        <v>7</v>
      </c>
      <c r="E45" s="77">
        <v>18</v>
      </c>
      <c r="F45" s="77">
        <f t="shared" si="0"/>
        <v>8</v>
      </c>
      <c r="G45" s="77">
        <f t="shared" si="1"/>
        <v>2007</v>
      </c>
      <c r="H45" s="77">
        <f>SUM(Interesse_digital[[#This Row],[hotel ''ro'']],Interesse_digital[[#This Row],[pousada ''ro'']])</f>
        <v>10</v>
      </c>
      <c r="I45" s="77">
        <f>SUM(Interesse_digital[[#This Row],[hotel ''cf'']],Interesse_digital[[#This Row],[pousada ''cf'']])</f>
        <v>34</v>
      </c>
    </row>
    <row r="46" spans="1:13">
      <c r="A46" s="106">
        <v>39326</v>
      </c>
      <c r="B46" s="77">
        <v>4</v>
      </c>
      <c r="C46" s="77">
        <v>23</v>
      </c>
      <c r="D46" s="77">
        <v>9</v>
      </c>
      <c r="E46" s="77">
        <v>29</v>
      </c>
      <c r="F46" s="77">
        <f t="shared" si="0"/>
        <v>9</v>
      </c>
      <c r="G46" s="77">
        <f t="shared" si="1"/>
        <v>2007</v>
      </c>
      <c r="H46" s="77">
        <f>SUM(Interesse_digital[[#This Row],[hotel ''ro'']],Interesse_digital[[#This Row],[pousada ''ro'']])</f>
        <v>13</v>
      </c>
      <c r="I46" s="77">
        <f>SUM(Interesse_digital[[#This Row],[hotel ''cf'']],Interesse_digital[[#This Row],[pousada ''cf'']])</f>
        <v>52</v>
      </c>
    </row>
    <row r="47" spans="1:13">
      <c r="A47" s="106">
        <v>39356</v>
      </c>
      <c r="B47" s="77">
        <v>6</v>
      </c>
      <c r="C47" s="77">
        <v>29</v>
      </c>
      <c r="D47" s="77">
        <v>12</v>
      </c>
      <c r="E47" s="77">
        <v>38</v>
      </c>
      <c r="F47" s="77">
        <f t="shared" si="0"/>
        <v>10</v>
      </c>
      <c r="G47" s="77">
        <f t="shared" si="1"/>
        <v>2007</v>
      </c>
      <c r="H47" s="77">
        <f>SUM(Interesse_digital[[#This Row],[hotel ''ro'']],Interesse_digital[[#This Row],[pousada ''ro'']])</f>
        <v>18</v>
      </c>
      <c r="I47" s="77">
        <f>SUM(Interesse_digital[[#This Row],[hotel ''cf'']],Interesse_digital[[#This Row],[pousada ''cf'']])</f>
        <v>67</v>
      </c>
    </row>
    <row r="48" spans="1:13">
      <c r="A48" s="106">
        <v>39387</v>
      </c>
      <c r="B48" s="77">
        <v>8</v>
      </c>
      <c r="C48" s="77">
        <v>30</v>
      </c>
      <c r="D48" s="77">
        <v>11</v>
      </c>
      <c r="E48" s="77">
        <v>35</v>
      </c>
      <c r="F48" s="77">
        <f t="shared" si="0"/>
        <v>11</v>
      </c>
      <c r="G48" s="77">
        <f t="shared" si="1"/>
        <v>2007</v>
      </c>
      <c r="H48" s="77">
        <f>SUM(Interesse_digital[[#This Row],[hotel ''ro'']],Interesse_digital[[#This Row],[pousada ''ro'']])</f>
        <v>19</v>
      </c>
      <c r="I48" s="77">
        <f>SUM(Interesse_digital[[#This Row],[hotel ''cf'']],Interesse_digital[[#This Row],[pousada ''cf'']])</f>
        <v>65</v>
      </c>
    </row>
    <row r="49" spans="1:9">
      <c r="A49" s="106">
        <v>39417</v>
      </c>
      <c r="B49" s="77">
        <v>9</v>
      </c>
      <c r="C49" s="77">
        <v>48</v>
      </c>
      <c r="D49" s="77">
        <v>16</v>
      </c>
      <c r="E49" s="77">
        <v>59</v>
      </c>
      <c r="F49" s="77">
        <f t="shared" si="0"/>
        <v>12</v>
      </c>
      <c r="G49" s="77">
        <f t="shared" si="1"/>
        <v>2007</v>
      </c>
      <c r="H49" s="77">
        <f>SUM(Interesse_digital[[#This Row],[hotel ''ro'']],Interesse_digital[[#This Row],[pousada ''ro'']])</f>
        <v>25</v>
      </c>
      <c r="I49" s="77">
        <f>SUM(Interesse_digital[[#This Row],[hotel ''cf'']],Interesse_digital[[#This Row],[pousada ''cf'']])</f>
        <v>107</v>
      </c>
    </row>
    <row r="50" spans="1:9">
      <c r="A50" s="106">
        <v>39448</v>
      </c>
      <c r="B50" s="77">
        <v>11</v>
      </c>
      <c r="C50" s="77">
        <v>49</v>
      </c>
      <c r="D50" s="77">
        <v>26</v>
      </c>
      <c r="E50" s="77">
        <v>70</v>
      </c>
      <c r="F50" s="77">
        <f t="shared" si="0"/>
        <v>1</v>
      </c>
      <c r="G50" s="77">
        <f t="shared" si="1"/>
        <v>2008</v>
      </c>
      <c r="H50" s="77">
        <f>SUM(Interesse_digital[[#This Row],[hotel ''ro'']],Interesse_digital[[#This Row],[pousada ''ro'']])</f>
        <v>37</v>
      </c>
      <c r="I50" s="77">
        <f>SUM(Interesse_digital[[#This Row],[hotel ''cf'']],Interesse_digital[[#This Row],[pousada ''cf'']])</f>
        <v>119</v>
      </c>
    </row>
    <row r="51" spans="1:9">
      <c r="A51" s="106">
        <v>39479</v>
      </c>
      <c r="B51" s="77">
        <v>5</v>
      </c>
      <c r="C51" s="77">
        <v>20</v>
      </c>
      <c r="D51" s="77">
        <v>9</v>
      </c>
      <c r="E51" s="77">
        <v>27</v>
      </c>
      <c r="F51" s="77">
        <f t="shared" si="0"/>
        <v>2</v>
      </c>
      <c r="G51" s="77">
        <f t="shared" si="1"/>
        <v>2008</v>
      </c>
      <c r="H51" s="77">
        <f>SUM(Interesse_digital[[#This Row],[hotel ''ro'']],Interesse_digital[[#This Row],[pousada ''ro'']])</f>
        <v>14</v>
      </c>
      <c r="I51" s="77">
        <f>SUM(Interesse_digital[[#This Row],[hotel ''cf'']],Interesse_digital[[#This Row],[pousada ''cf'']])</f>
        <v>47</v>
      </c>
    </row>
    <row r="52" spans="1:9">
      <c r="A52" s="106">
        <v>39508</v>
      </c>
      <c r="B52" s="77">
        <v>5</v>
      </c>
      <c r="C52" s="77">
        <v>18</v>
      </c>
      <c r="D52" s="77">
        <v>9</v>
      </c>
      <c r="E52" s="77">
        <v>24</v>
      </c>
      <c r="F52" s="77">
        <f t="shared" si="0"/>
        <v>3</v>
      </c>
      <c r="G52" s="77">
        <f t="shared" si="1"/>
        <v>2008</v>
      </c>
      <c r="H52" s="77">
        <f>SUM(Interesse_digital[[#This Row],[hotel ''ro'']],Interesse_digital[[#This Row],[pousada ''ro'']])</f>
        <v>14</v>
      </c>
      <c r="I52" s="77">
        <f>SUM(Interesse_digital[[#This Row],[hotel ''cf'']],Interesse_digital[[#This Row],[pousada ''cf'']])</f>
        <v>42</v>
      </c>
    </row>
    <row r="53" spans="1:9">
      <c r="A53" s="106">
        <v>39539</v>
      </c>
      <c r="B53" s="77">
        <v>5</v>
      </c>
      <c r="C53" s="77">
        <v>12</v>
      </c>
      <c r="D53" s="77">
        <v>8</v>
      </c>
      <c r="E53" s="77">
        <v>15</v>
      </c>
      <c r="F53" s="77">
        <f t="shared" si="0"/>
        <v>4</v>
      </c>
      <c r="G53" s="77">
        <f t="shared" si="1"/>
        <v>2008</v>
      </c>
      <c r="H53" s="77">
        <f>SUM(Interesse_digital[[#This Row],[hotel ''ro'']],Interesse_digital[[#This Row],[pousada ''ro'']])</f>
        <v>13</v>
      </c>
      <c r="I53" s="77">
        <f>SUM(Interesse_digital[[#This Row],[hotel ''cf'']],Interesse_digital[[#This Row],[pousada ''cf'']])</f>
        <v>27</v>
      </c>
    </row>
    <row r="54" spans="1:9">
      <c r="A54" s="106">
        <v>39569</v>
      </c>
      <c r="B54" s="77">
        <v>4</v>
      </c>
      <c r="C54" s="77">
        <v>11</v>
      </c>
      <c r="D54" s="77">
        <v>8</v>
      </c>
      <c r="E54" s="77">
        <v>12</v>
      </c>
      <c r="F54" s="77">
        <f t="shared" si="0"/>
        <v>5</v>
      </c>
      <c r="G54" s="77">
        <f t="shared" si="1"/>
        <v>2008</v>
      </c>
      <c r="H54" s="77">
        <f>SUM(Interesse_digital[[#This Row],[hotel ''ro'']],Interesse_digital[[#This Row],[pousada ''ro'']])</f>
        <v>12</v>
      </c>
      <c r="I54" s="77">
        <f>SUM(Interesse_digital[[#This Row],[hotel ''cf'']],Interesse_digital[[#This Row],[pousada ''cf'']])</f>
        <v>23</v>
      </c>
    </row>
    <row r="55" spans="1:9">
      <c r="A55" s="106">
        <v>39600</v>
      </c>
      <c r="B55" s="77">
        <v>5</v>
      </c>
      <c r="C55" s="77">
        <v>10</v>
      </c>
      <c r="D55" s="77">
        <v>11</v>
      </c>
      <c r="E55" s="77">
        <v>12</v>
      </c>
      <c r="F55" s="77">
        <f t="shared" si="0"/>
        <v>6</v>
      </c>
      <c r="G55" s="77">
        <f t="shared" si="1"/>
        <v>2008</v>
      </c>
      <c r="H55" s="77">
        <f>SUM(Interesse_digital[[#This Row],[hotel ''ro'']],Interesse_digital[[#This Row],[pousada ''ro'']])</f>
        <v>16</v>
      </c>
      <c r="I55" s="77">
        <f>SUM(Interesse_digital[[#This Row],[hotel ''cf'']],Interesse_digital[[#This Row],[pousada ''cf'']])</f>
        <v>22</v>
      </c>
    </row>
    <row r="56" spans="1:9">
      <c r="A56" s="106">
        <v>39630</v>
      </c>
      <c r="B56" s="77">
        <v>4</v>
      </c>
      <c r="C56" s="77">
        <v>18</v>
      </c>
      <c r="D56" s="77">
        <v>10</v>
      </c>
      <c r="E56" s="77">
        <v>23</v>
      </c>
      <c r="F56" s="77">
        <f t="shared" si="0"/>
        <v>7</v>
      </c>
      <c r="G56" s="77">
        <f t="shared" si="1"/>
        <v>2008</v>
      </c>
      <c r="H56" s="77">
        <f>SUM(Interesse_digital[[#This Row],[hotel ''ro'']],Interesse_digital[[#This Row],[pousada ''ro'']])</f>
        <v>14</v>
      </c>
      <c r="I56" s="77">
        <f>SUM(Interesse_digital[[#This Row],[hotel ''cf'']],Interesse_digital[[#This Row],[pousada ''cf'']])</f>
        <v>41</v>
      </c>
    </row>
    <row r="57" spans="1:9">
      <c r="A57" s="106">
        <v>39661</v>
      </c>
      <c r="B57" s="77">
        <v>6</v>
      </c>
      <c r="C57" s="77">
        <v>15</v>
      </c>
      <c r="D57" s="77">
        <v>7</v>
      </c>
      <c r="E57" s="77">
        <v>23</v>
      </c>
      <c r="F57" s="77">
        <f t="shared" si="0"/>
        <v>8</v>
      </c>
      <c r="G57" s="77">
        <f t="shared" si="1"/>
        <v>2008</v>
      </c>
      <c r="H57" s="77">
        <f>SUM(Interesse_digital[[#This Row],[hotel ''ro'']],Interesse_digital[[#This Row],[pousada ''ro'']])</f>
        <v>13</v>
      </c>
      <c r="I57" s="77">
        <f>SUM(Interesse_digital[[#This Row],[hotel ''cf'']],Interesse_digital[[#This Row],[pousada ''cf'']])</f>
        <v>38</v>
      </c>
    </row>
    <row r="58" spans="1:9">
      <c r="A58" s="106">
        <v>39692</v>
      </c>
      <c r="B58" s="77">
        <v>4</v>
      </c>
      <c r="C58" s="77">
        <v>20</v>
      </c>
      <c r="D58" s="77">
        <v>9</v>
      </c>
      <c r="E58" s="77">
        <v>29</v>
      </c>
      <c r="F58" s="77">
        <f t="shared" si="0"/>
        <v>9</v>
      </c>
      <c r="G58" s="77">
        <f t="shared" si="1"/>
        <v>2008</v>
      </c>
      <c r="H58" s="77">
        <f>SUM(Interesse_digital[[#This Row],[hotel ''ro'']],Interesse_digital[[#This Row],[pousada ''ro'']])</f>
        <v>13</v>
      </c>
      <c r="I58" s="77">
        <f>SUM(Interesse_digital[[#This Row],[hotel ''cf'']],Interesse_digital[[#This Row],[pousada ''cf'']])</f>
        <v>49</v>
      </c>
    </row>
    <row r="59" spans="1:9">
      <c r="A59" s="106">
        <v>39722</v>
      </c>
      <c r="B59" s="77">
        <v>5</v>
      </c>
      <c r="C59" s="77">
        <v>32</v>
      </c>
      <c r="D59" s="77">
        <v>11</v>
      </c>
      <c r="E59" s="77">
        <v>43</v>
      </c>
      <c r="F59" s="77">
        <f t="shared" si="0"/>
        <v>10</v>
      </c>
      <c r="G59" s="77">
        <f t="shared" si="1"/>
        <v>2008</v>
      </c>
      <c r="H59" s="77">
        <f>SUM(Interesse_digital[[#This Row],[hotel ''ro'']],Interesse_digital[[#This Row],[pousada ''ro'']])</f>
        <v>16</v>
      </c>
      <c r="I59" s="77">
        <f>SUM(Interesse_digital[[#This Row],[hotel ''cf'']],Interesse_digital[[#This Row],[pousada ''cf'']])</f>
        <v>75</v>
      </c>
    </row>
    <row r="60" spans="1:9">
      <c r="A60" s="106">
        <v>39753</v>
      </c>
      <c r="B60" s="77">
        <v>6</v>
      </c>
      <c r="C60" s="77">
        <v>36</v>
      </c>
      <c r="D60" s="77">
        <v>14</v>
      </c>
      <c r="E60" s="77">
        <v>51</v>
      </c>
      <c r="F60" s="77">
        <f t="shared" si="0"/>
        <v>11</v>
      </c>
      <c r="G60" s="77">
        <f t="shared" si="1"/>
        <v>2008</v>
      </c>
      <c r="H60" s="77">
        <f>SUM(Interesse_digital[[#This Row],[hotel ''ro'']],Interesse_digital[[#This Row],[pousada ''ro'']])</f>
        <v>20</v>
      </c>
      <c r="I60" s="77">
        <f>SUM(Interesse_digital[[#This Row],[hotel ''cf'']],Interesse_digital[[#This Row],[pousada ''cf'']])</f>
        <v>87</v>
      </c>
    </row>
    <row r="61" spans="1:9">
      <c r="A61" s="106">
        <v>39783</v>
      </c>
      <c r="B61" s="77">
        <v>7</v>
      </c>
      <c r="C61" s="77">
        <v>45</v>
      </c>
      <c r="D61" s="77">
        <v>18</v>
      </c>
      <c r="E61" s="77">
        <v>61</v>
      </c>
      <c r="F61" s="77">
        <f t="shared" si="0"/>
        <v>12</v>
      </c>
      <c r="G61" s="77">
        <f t="shared" si="1"/>
        <v>2008</v>
      </c>
      <c r="H61" s="77">
        <f>SUM(Interesse_digital[[#This Row],[hotel ''ro'']],Interesse_digital[[#This Row],[pousada ''ro'']])</f>
        <v>25</v>
      </c>
      <c r="I61" s="77">
        <f>SUM(Interesse_digital[[#This Row],[hotel ''cf'']],Interesse_digital[[#This Row],[pousada ''cf'']])</f>
        <v>106</v>
      </c>
    </row>
    <row r="62" spans="1:9">
      <c r="A62" s="106">
        <v>39814</v>
      </c>
      <c r="B62" s="77">
        <v>13</v>
      </c>
      <c r="C62" s="77">
        <v>64</v>
      </c>
      <c r="D62" s="77">
        <v>31</v>
      </c>
      <c r="E62" s="77">
        <v>85</v>
      </c>
      <c r="F62" s="77">
        <f t="shared" si="0"/>
        <v>1</v>
      </c>
      <c r="G62" s="77">
        <f t="shared" si="1"/>
        <v>2009</v>
      </c>
      <c r="H62" s="77">
        <f>SUM(Interesse_digital[[#This Row],[hotel ''ro'']],Interesse_digital[[#This Row],[pousada ''ro'']])</f>
        <v>44</v>
      </c>
      <c r="I62" s="77">
        <f>SUM(Interesse_digital[[#This Row],[hotel ''cf'']],Interesse_digital[[#This Row],[pousada ''cf'']])</f>
        <v>149</v>
      </c>
    </row>
    <row r="63" spans="1:9">
      <c r="A63" s="106">
        <v>39845</v>
      </c>
      <c r="B63" s="77">
        <v>8</v>
      </c>
      <c r="C63" s="77">
        <v>35</v>
      </c>
      <c r="D63" s="77">
        <v>17</v>
      </c>
      <c r="E63" s="77">
        <v>49</v>
      </c>
      <c r="F63" s="77">
        <f t="shared" si="0"/>
        <v>2</v>
      </c>
      <c r="G63" s="77">
        <f t="shared" si="1"/>
        <v>2009</v>
      </c>
      <c r="H63" s="77">
        <f>SUM(Interesse_digital[[#This Row],[hotel ''ro'']],Interesse_digital[[#This Row],[pousada ''ro'']])</f>
        <v>25</v>
      </c>
      <c r="I63" s="77">
        <f>SUM(Interesse_digital[[#This Row],[hotel ''cf'']],Interesse_digital[[#This Row],[pousada ''cf'']])</f>
        <v>84</v>
      </c>
    </row>
    <row r="64" spans="1:9">
      <c r="A64" s="106">
        <v>39873</v>
      </c>
      <c r="B64" s="77">
        <v>6</v>
      </c>
      <c r="C64" s="77">
        <v>26</v>
      </c>
      <c r="D64" s="77">
        <v>12</v>
      </c>
      <c r="E64" s="77">
        <v>39</v>
      </c>
      <c r="F64" s="77">
        <f t="shared" si="0"/>
        <v>3</v>
      </c>
      <c r="G64" s="77">
        <f t="shared" si="1"/>
        <v>2009</v>
      </c>
      <c r="H64" s="77">
        <f>SUM(Interesse_digital[[#This Row],[hotel ''ro'']],Interesse_digital[[#This Row],[pousada ''ro'']])</f>
        <v>18</v>
      </c>
      <c r="I64" s="77">
        <f>SUM(Interesse_digital[[#This Row],[hotel ''cf'']],Interesse_digital[[#This Row],[pousada ''cf'']])</f>
        <v>65</v>
      </c>
    </row>
    <row r="65" spans="1:9">
      <c r="A65" s="106">
        <v>39904</v>
      </c>
      <c r="B65" s="77">
        <v>4</v>
      </c>
      <c r="C65" s="77">
        <v>19</v>
      </c>
      <c r="D65" s="77">
        <v>10</v>
      </c>
      <c r="E65" s="77">
        <v>25</v>
      </c>
      <c r="F65" s="77">
        <f t="shared" si="0"/>
        <v>4</v>
      </c>
      <c r="G65" s="77">
        <f t="shared" si="1"/>
        <v>2009</v>
      </c>
      <c r="H65" s="77">
        <f>SUM(Interesse_digital[[#This Row],[hotel ''ro'']],Interesse_digital[[#This Row],[pousada ''ro'']])</f>
        <v>14</v>
      </c>
      <c r="I65" s="77">
        <f>SUM(Interesse_digital[[#This Row],[hotel ''cf'']],Interesse_digital[[#This Row],[pousada ''cf'']])</f>
        <v>44</v>
      </c>
    </row>
    <row r="66" spans="1:9">
      <c r="A66" s="106">
        <v>39934</v>
      </c>
      <c r="B66" s="77">
        <v>7</v>
      </c>
      <c r="C66" s="77">
        <v>12</v>
      </c>
      <c r="D66" s="77">
        <v>7</v>
      </c>
      <c r="E66" s="77">
        <v>21</v>
      </c>
      <c r="F66" s="77">
        <f t="shared" ref="F66:F129" si="2">MONTH(A66)</f>
        <v>5</v>
      </c>
      <c r="G66" s="77">
        <f t="shared" ref="G66:G129" si="3">YEAR(A66)</f>
        <v>2009</v>
      </c>
      <c r="H66" s="77">
        <f>SUM(Interesse_digital[[#This Row],[hotel ''ro'']],Interesse_digital[[#This Row],[pousada ''ro'']])</f>
        <v>14</v>
      </c>
      <c r="I66" s="77">
        <f>SUM(Interesse_digital[[#This Row],[hotel ''cf'']],Interesse_digital[[#This Row],[pousada ''cf'']])</f>
        <v>33</v>
      </c>
    </row>
    <row r="67" spans="1:9">
      <c r="A67" s="106">
        <v>39965</v>
      </c>
      <c r="B67" s="77">
        <v>7</v>
      </c>
      <c r="C67" s="77">
        <v>14</v>
      </c>
      <c r="D67" s="77">
        <v>11</v>
      </c>
      <c r="E67" s="77">
        <v>20</v>
      </c>
      <c r="F67" s="77">
        <f t="shared" si="2"/>
        <v>6</v>
      </c>
      <c r="G67" s="77">
        <f t="shared" si="3"/>
        <v>2009</v>
      </c>
      <c r="H67" s="77">
        <f>SUM(Interesse_digital[[#This Row],[hotel ''ro'']],Interesse_digital[[#This Row],[pousada ''ro'']])</f>
        <v>18</v>
      </c>
      <c r="I67" s="77">
        <f>SUM(Interesse_digital[[#This Row],[hotel ''cf'']],Interesse_digital[[#This Row],[pousada ''cf'']])</f>
        <v>34</v>
      </c>
    </row>
    <row r="68" spans="1:9">
      <c r="A68" s="106">
        <v>39995</v>
      </c>
      <c r="B68" s="77">
        <v>4</v>
      </c>
      <c r="C68" s="77">
        <v>21</v>
      </c>
      <c r="D68" s="77">
        <v>9</v>
      </c>
      <c r="E68" s="77">
        <v>28</v>
      </c>
      <c r="F68" s="77">
        <f t="shared" si="2"/>
        <v>7</v>
      </c>
      <c r="G68" s="77">
        <f t="shared" si="3"/>
        <v>2009</v>
      </c>
      <c r="H68" s="77">
        <f>SUM(Interesse_digital[[#This Row],[hotel ''ro'']],Interesse_digital[[#This Row],[pousada ''ro'']])</f>
        <v>13</v>
      </c>
      <c r="I68" s="77">
        <f>SUM(Interesse_digital[[#This Row],[hotel ''cf'']],Interesse_digital[[#This Row],[pousada ''cf'']])</f>
        <v>49</v>
      </c>
    </row>
    <row r="69" spans="1:9">
      <c r="A69" s="106">
        <v>40026</v>
      </c>
      <c r="B69" s="77">
        <v>6</v>
      </c>
      <c r="C69" s="77">
        <v>26</v>
      </c>
      <c r="D69" s="77">
        <v>11</v>
      </c>
      <c r="E69" s="77">
        <v>32</v>
      </c>
      <c r="F69" s="77">
        <f t="shared" si="2"/>
        <v>8</v>
      </c>
      <c r="G69" s="77">
        <f t="shared" si="3"/>
        <v>2009</v>
      </c>
      <c r="H69" s="77">
        <f>SUM(Interesse_digital[[#This Row],[hotel ''ro'']],Interesse_digital[[#This Row],[pousada ''ro'']])</f>
        <v>17</v>
      </c>
      <c r="I69" s="77">
        <f>SUM(Interesse_digital[[#This Row],[hotel ''cf'']],Interesse_digital[[#This Row],[pousada ''cf'']])</f>
        <v>58</v>
      </c>
    </row>
    <row r="70" spans="1:9">
      <c r="A70" s="106">
        <v>40057</v>
      </c>
      <c r="B70" s="77">
        <v>6</v>
      </c>
      <c r="C70" s="77">
        <v>34</v>
      </c>
      <c r="D70" s="77">
        <v>10</v>
      </c>
      <c r="E70" s="77">
        <v>39</v>
      </c>
      <c r="F70" s="77">
        <f t="shared" si="2"/>
        <v>9</v>
      </c>
      <c r="G70" s="77">
        <f t="shared" si="3"/>
        <v>2009</v>
      </c>
      <c r="H70" s="77">
        <f>SUM(Interesse_digital[[#This Row],[hotel ''ro'']],Interesse_digital[[#This Row],[pousada ''ro'']])</f>
        <v>16</v>
      </c>
      <c r="I70" s="77">
        <f>SUM(Interesse_digital[[#This Row],[hotel ''cf'']],Interesse_digital[[#This Row],[pousada ''cf'']])</f>
        <v>73</v>
      </c>
    </row>
    <row r="71" spans="1:9">
      <c r="A71" s="106">
        <v>40087</v>
      </c>
      <c r="B71" s="77">
        <v>7</v>
      </c>
      <c r="C71" s="77">
        <v>42</v>
      </c>
      <c r="D71" s="77">
        <v>17</v>
      </c>
      <c r="E71" s="77">
        <v>54</v>
      </c>
      <c r="F71" s="77">
        <f t="shared" si="2"/>
        <v>10</v>
      </c>
      <c r="G71" s="77">
        <f t="shared" si="3"/>
        <v>2009</v>
      </c>
      <c r="H71" s="77">
        <f>SUM(Interesse_digital[[#This Row],[hotel ''ro'']],Interesse_digital[[#This Row],[pousada ''ro'']])</f>
        <v>24</v>
      </c>
      <c r="I71" s="77">
        <f>SUM(Interesse_digital[[#This Row],[hotel ''cf'']],Interesse_digital[[#This Row],[pousada ''cf'']])</f>
        <v>96</v>
      </c>
    </row>
    <row r="72" spans="1:9">
      <c r="A72" s="106">
        <v>40118</v>
      </c>
      <c r="B72" s="77">
        <v>11</v>
      </c>
      <c r="C72" s="77">
        <v>53</v>
      </c>
      <c r="D72" s="77">
        <v>18</v>
      </c>
      <c r="E72" s="77">
        <v>68</v>
      </c>
      <c r="F72" s="77">
        <f t="shared" si="2"/>
        <v>11</v>
      </c>
      <c r="G72" s="77">
        <f t="shared" si="3"/>
        <v>2009</v>
      </c>
      <c r="H72" s="77">
        <f>SUM(Interesse_digital[[#This Row],[hotel ''ro'']],Interesse_digital[[#This Row],[pousada ''ro'']])</f>
        <v>29</v>
      </c>
      <c r="I72" s="77">
        <f>SUM(Interesse_digital[[#This Row],[hotel ''cf'']],Interesse_digital[[#This Row],[pousada ''cf'']])</f>
        <v>121</v>
      </c>
    </row>
    <row r="73" spans="1:9">
      <c r="A73" s="106">
        <v>40148</v>
      </c>
      <c r="B73" s="77">
        <v>13</v>
      </c>
      <c r="C73" s="77">
        <v>55</v>
      </c>
      <c r="D73" s="77">
        <v>22</v>
      </c>
      <c r="E73" s="77">
        <v>80</v>
      </c>
      <c r="F73" s="77">
        <f t="shared" si="2"/>
        <v>12</v>
      </c>
      <c r="G73" s="77">
        <f t="shared" si="3"/>
        <v>2009</v>
      </c>
      <c r="H73" s="77">
        <f>SUM(Interesse_digital[[#This Row],[hotel ''ro'']],Interesse_digital[[#This Row],[pousada ''ro'']])</f>
        <v>35</v>
      </c>
      <c r="I73" s="77">
        <f>SUM(Interesse_digital[[#This Row],[hotel ''cf'']],Interesse_digital[[#This Row],[pousada ''cf'']])</f>
        <v>135</v>
      </c>
    </row>
    <row r="74" spans="1:9">
      <c r="A74" s="106">
        <v>40179</v>
      </c>
      <c r="B74" s="77">
        <v>15</v>
      </c>
      <c r="C74" s="77">
        <v>69</v>
      </c>
      <c r="D74" s="77">
        <v>31</v>
      </c>
      <c r="E74" s="77">
        <v>100</v>
      </c>
      <c r="F74" s="77">
        <f t="shared" si="2"/>
        <v>1</v>
      </c>
      <c r="G74" s="77">
        <f t="shared" si="3"/>
        <v>2010</v>
      </c>
      <c r="H74" s="77">
        <f>SUM(Interesse_digital[[#This Row],[hotel ''ro'']],Interesse_digital[[#This Row],[pousada ''ro'']])</f>
        <v>46</v>
      </c>
      <c r="I74" s="77">
        <f>SUM(Interesse_digital[[#This Row],[hotel ''cf'']],Interesse_digital[[#This Row],[pousada ''cf'']])</f>
        <v>169</v>
      </c>
    </row>
    <row r="75" spans="1:9">
      <c r="A75" s="106">
        <v>40210</v>
      </c>
      <c r="B75" s="77">
        <v>10</v>
      </c>
      <c r="C75" s="77">
        <v>34</v>
      </c>
      <c r="D75" s="77">
        <v>18</v>
      </c>
      <c r="E75" s="77">
        <v>48</v>
      </c>
      <c r="F75" s="77">
        <f t="shared" si="2"/>
        <v>2</v>
      </c>
      <c r="G75" s="77">
        <f t="shared" si="3"/>
        <v>2010</v>
      </c>
      <c r="H75" s="77">
        <f>SUM(Interesse_digital[[#This Row],[hotel ''ro'']],Interesse_digital[[#This Row],[pousada ''ro'']])</f>
        <v>28</v>
      </c>
      <c r="I75" s="77">
        <f>SUM(Interesse_digital[[#This Row],[hotel ''cf'']],Interesse_digital[[#This Row],[pousada ''cf'']])</f>
        <v>82</v>
      </c>
    </row>
    <row r="76" spans="1:9">
      <c r="A76" s="106">
        <v>40238</v>
      </c>
      <c r="B76" s="77">
        <v>4</v>
      </c>
      <c r="C76" s="77">
        <v>24</v>
      </c>
      <c r="D76" s="77">
        <v>12</v>
      </c>
      <c r="E76" s="77">
        <v>35</v>
      </c>
      <c r="F76" s="77">
        <f t="shared" si="2"/>
        <v>3</v>
      </c>
      <c r="G76" s="77">
        <f t="shared" si="3"/>
        <v>2010</v>
      </c>
      <c r="H76" s="77">
        <f>SUM(Interesse_digital[[#This Row],[hotel ''ro'']],Interesse_digital[[#This Row],[pousada ''ro'']])</f>
        <v>16</v>
      </c>
      <c r="I76" s="77">
        <f>SUM(Interesse_digital[[#This Row],[hotel ''cf'']],Interesse_digital[[#This Row],[pousada ''cf'']])</f>
        <v>59</v>
      </c>
    </row>
    <row r="77" spans="1:9">
      <c r="A77" s="106">
        <v>40269</v>
      </c>
      <c r="B77" s="77">
        <v>5</v>
      </c>
      <c r="C77" s="77">
        <v>18</v>
      </c>
      <c r="D77" s="77">
        <v>8</v>
      </c>
      <c r="E77" s="77">
        <v>26</v>
      </c>
      <c r="F77" s="77">
        <f t="shared" si="2"/>
        <v>4</v>
      </c>
      <c r="G77" s="77">
        <f t="shared" si="3"/>
        <v>2010</v>
      </c>
      <c r="H77" s="77">
        <f>SUM(Interesse_digital[[#This Row],[hotel ''ro'']],Interesse_digital[[#This Row],[pousada ''ro'']])</f>
        <v>13</v>
      </c>
      <c r="I77" s="77">
        <f>SUM(Interesse_digital[[#This Row],[hotel ''cf'']],Interesse_digital[[#This Row],[pousada ''cf'']])</f>
        <v>44</v>
      </c>
    </row>
    <row r="78" spans="1:9">
      <c r="A78" s="106">
        <v>40299</v>
      </c>
      <c r="B78" s="77">
        <v>5</v>
      </c>
      <c r="C78" s="77">
        <v>14</v>
      </c>
      <c r="D78" s="77">
        <v>9</v>
      </c>
      <c r="E78" s="77">
        <v>20</v>
      </c>
      <c r="F78" s="77">
        <f t="shared" si="2"/>
        <v>5</v>
      </c>
      <c r="G78" s="77">
        <f t="shared" si="3"/>
        <v>2010</v>
      </c>
      <c r="H78" s="77">
        <f>SUM(Interesse_digital[[#This Row],[hotel ''ro'']],Interesse_digital[[#This Row],[pousada ''ro'']])</f>
        <v>14</v>
      </c>
      <c r="I78" s="77">
        <f>SUM(Interesse_digital[[#This Row],[hotel ''cf'']],Interesse_digital[[#This Row],[pousada ''cf'']])</f>
        <v>34</v>
      </c>
    </row>
    <row r="79" spans="1:9">
      <c r="A79" s="106">
        <v>40330</v>
      </c>
      <c r="B79" s="77">
        <v>4</v>
      </c>
      <c r="C79" s="77">
        <v>11</v>
      </c>
      <c r="D79" s="77">
        <v>8</v>
      </c>
      <c r="E79" s="77">
        <v>15</v>
      </c>
      <c r="F79" s="77">
        <f t="shared" si="2"/>
        <v>6</v>
      </c>
      <c r="G79" s="77">
        <f t="shared" si="3"/>
        <v>2010</v>
      </c>
      <c r="H79" s="77">
        <f>SUM(Interesse_digital[[#This Row],[hotel ''ro'']],Interesse_digital[[#This Row],[pousada ''ro'']])</f>
        <v>12</v>
      </c>
      <c r="I79" s="77">
        <f>SUM(Interesse_digital[[#This Row],[hotel ''cf'']],Interesse_digital[[#This Row],[pousada ''cf'']])</f>
        <v>26</v>
      </c>
    </row>
    <row r="80" spans="1:9">
      <c r="A80" s="106">
        <v>40360</v>
      </c>
      <c r="B80" s="77">
        <v>4</v>
      </c>
      <c r="C80" s="77">
        <v>22</v>
      </c>
      <c r="D80" s="77">
        <v>7</v>
      </c>
      <c r="E80" s="77">
        <v>29</v>
      </c>
      <c r="F80" s="77">
        <f t="shared" si="2"/>
        <v>7</v>
      </c>
      <c r="G80" s="77">
        <f t="shared" si="3"/>
        <v>2010</v>
      </c>
      <c r="H80" s="77">
        <f>SUM(Interesse_digital[[#This Row],[hotel ''ro'']],Interesse_digital[[#This Row],[pousada ''ro'']])</f>
        <v>11</v>
      </c>
      <c r="I80" s="77">
        <f>SUM(Interesse_digital[[#This Row],[hotel ''cf'']],Interesse_digital[[#This Row],[pousada ''cf'']])</f>
        <v>51</v>
      </c>
    </row>
    <row r="81" spans="1:9">
      <c r="A81" s="106">
        <v>40391</v>
      </c>
      <c r="B81" s="77">
        <v>4</v>
      </c>
      <c r="C81" s="77">
        <v>24</v>
      </c>
      <c r="D81" s="77">
        <v>9</v>
      </c>
      <c r="E81" s="77">
        <v>31</v>
      </c>
      <c r="F81" s="77">
        <f t="shared" si="2"/>
        <v>8</v>
      </c>
      <c r="G81" s="77">
        <f t="shared" si="3"/>
        <v>2010</v>
      </c>
      <c r="H81" s="77">
        <f>SUM(Interesse_digital[[#This Row],[hotel ''ro'']],Interesse_digital[[#This Row],[pousada ''ro'']])</f>
        <v>13</v>
      </c>
      <c r="I81" s="77">
        <f>SUM(Interesse_digital[[#This Row],[hotel ''cf'']],Interesse_digital[[#This Row],[pousada ''cf'']])</f>
        <v>55</v>
      </c>
    </row>
    <row r="82" spans="1:9">
      <c r="A82" s="106">
        <v>40422</v>
      </c>
      <c r="B82" s="77">
        <v>8</v>
      </c>
      <c r="C82" s="77">
        <v>26</v>
      </c>
      <c r="D82" s="77">
        <v>10</v>
      </c>
      <c r="E82" s="77">
        <v>34</v>
      </c>
      <c r="F82" s="77">
        <f t="shared" si="2"/>
        <v>9</v>
      </c>
      <c r="G82" s="77">
        <f t="shared" si="3"/>
        <v>2010</v>
      </c>
      <c r="H82" s="77">
        <f>SUM(Interesse_digital[[#This Row],[hotel ''ro'']],Interesse_digital[[#This Row],[pousada ''ro'']])</f>
        <v>18</v>
      </c>
      <c r="I82" s="77">
        <f>SUM(Interesse_digital[[#This Row],[hotel ''cf'']],Interesse_digital[[#This Row],[pousada ''cf'']])</f>
        <v>60</v>
      </c>
    </row>
    <row r="83" spans="1:9">
      <c r="A83" s="106">
        <v>40452</v>
      </c>
      <c r="B83" s="77">
        <v>8</v>
      </c>
      <c r="C83" s="77">
        <v>33</v>
      </c>
      <c r="D83" s="77">
        <v>12</v>
      </c>
      <c r="E83" s="77">
        <v>39</v>
      </c>
      <c r="F83" s="77">
        <f t="shared" si="2"/>
        <v>10</v>
      </c>
      <c r="G83" s="77">
        <f t="shared" si="3"/>
        <v>2010</v>
      </c>
      <c r="H83" s="77">
        <f>SUM(Interesse_digital[[#This Row],[hotel ''ro'']],Interesse_digital[[#This Row],[pousada ''ro'']])</f>
        <v>20</v>
      </c>
      <c r="I83" s="77">
        <f>SUM(Interesse_digital[[#This Row],[hotel ''cf'']],Interesse_digital[[#This Row],[pousada ''cf'']])</f>
        <v>72</v>
      </c>
    </row>
    <row r="84" spans="1:9">
      <c r="A84" s="106">
        <v>40483</v>
      </c>
      <c r="B84" s="77">
        <v>7</v>
      </c>
      <c r="C84" s="77">
        <v>37</v>
      </c>
      <c r="D84" s="77">
        <v>16</v>
      </c>
      <c r="E84" s="77">
        <v>54</v>
      </c>
      <c r="F84" s="77">
        <f t="shared" si="2"/>
        <v>11</v>
      </c>
      <c r="G84" s="77">
        <f t="shared" si="3"/>
        <v>2010</v>
      </c>
      <c r="H84" s="77">
        <f>SUM(Interesse_digital[[#This Row],[hotel ''ro'']],Interesse_digital[[#This Row],[pousada ''ro'']])</f>
        <v>23</v>
      </c>
      <c r="I84" s="77">
        <f>SUM(Interesse_digital[[#This Row],[hotel ''cf'']],Interesse_digital[[#This Row],[pousada ''cf'']])</f>
        <v>91</v>
      </c>
    </row>
    <row r="85" spans="1:9">
      <c r="A85" s="106">
        <v>40513</v>
      </c>
      <c r="B85" s="77">
        <v>11</v>
      </c>
      <c r="C85" s="77">
        <v>45</v>
      </c>
      <c r="D85" s="77">
        <v>21</v>
      </c>
      <c r="E85" s="77">
        <v>63</v>
      </c>
      <c r="F85" s="77">
        <f t="shared" si="2"/>
        <v>12</v>
      </c>
      <c r="G85" s="77">
        <f t="shared" si="3"/>
        <v>2010</v>
      </c>
      <c r="H85" s="77">
        <f>SUM(Interesse_digital[[#This Row],[hotel ''ro'']],Interesse_digital[[#This Row],[pousada ''ro'']])</f>
        <v>32</v>
      </c>
      <c r="I85" s="77">
        <f>SUM(Interesse_digital[[#This Row],[hotel ''cf'']],Interesse_digital[[#This Row],[pousada ''cf'']])</f>
        <v>108</v>
      </c>
    </row>
    <row r="86" spans="1:9">
      <c r="A86" s="106">
        <v>40544</v>
      </c>
      <c r="B86" s="77">
        <v>13</v>
      </c>
      <c r="C86" s="77">
        <v>54</v>
      </c>
      <c r="D86" s="77">
        <v>27</v>
      </c>
      <c r="E86" s="77">
        <v>81</v>
      </c>
      <c r="F86" s="77">
        <f t="shared" si="2"/>
        <v>1</v>
      </c>
      <c r="G86" s="77">
        <f t="shared" si="3"/>
        <v>2011</v>
      </c>
      <c r="H86" s="77">
        <f>SUM(Interesse_digital[[#This Row],[hotel ''ro'']],Interesse_digital[[#This Row],[pousada ''ro'']])</f>
        <v>40</v>
      </c>
      <c r="I86" s="77">
        <f>SUM(Interesse_digital[[#This Row],[hotel ''cf'']],Interesse_digital[[#This Row],[pousada ''cf'']])</f>
        <v>135</v>
      </c>
    </row>
    <row r="87" spans="1:9">
      <c r="A87" s="106">
        <v>40575</v>
      </c>
      <c r="B87" s="77">
        <v>10</v>
      </c>
      <c r="C87" s="77">
        <v>40</v>
      </c>
      <c r="D87" s="77">
        <v>19</v>
      </c>
      <c r="E87" s="77">
        <v>56</v>
      </c>
      <c r="F87" s="77">
        <f t="shared" si="2"/>
        <v>2</v>
      </c>
      <c r="G87" s="77">
        <f t="shared" si="3"/>
        <v>2011</v>
      </c>
      <c r="H87" s="77">
        <f>SUM(Interesse_digital[[#This Row],[hotel ''ro'']],Interesse_digital[[#This Row],[pousada ''ro'']])</f>
        <v>29</v>
      </c>
      <c r="I87" s="77">
        <f>SUM(Interesse_digital[[#This Row],[hotel ''cf'']],Interesse_digital[[#This Row],[pousada ''cf'']])</f>
        <v>96</v>
      </c>
    </row>
    <row r="88" spans="1:9">
      <c r="A88" s="106">
        <v>40603</v>
      </c>
      <c r="B88" s="77">
        <v>6</v>
      </c>
      <c r="C88" s="77">
        <v>24</v>
      </c>
      <c r="D88" s="77">
        <v>13</v>
      </c>
      <c r="E88" s="77">
        <v>34</v>
      </c>
      <c r="F88" s="77">
        <f t="shared" si="2"/>
        <v>3</v>
      </c>
      <c r="G88" s="77">
        <f t="shared" si="3"/>
        <v>2011</v>
      </c>
      <c r="H88" s="77">
        <f>SUM(Interesse_digital[[#This Row],[hotel ''ro'']],Interesse_digital[[#This Row],[pousada ''ro'']])</f>
        <v>19</v>
      </c>
      <c r="I88" s="77">
        <f>SUM(Interesse_digital[[#This Row],[hotel ''cf'']],Interesse_digital[[#This Row],[pousada ''cf'']])</f>
        <v>58</v>
      </c>
    </row>
    <row r="89" spans="1:9">
      <c r="A89" s="106">
        <v>40634</v>
      </c>
      <c r="B89" s="77">
        <v>6</v>
      </c>
      <c r="C89" s="77">
        <v>21</v>
      </c>
      <c r="D89" s="77">
        <v>10</v>
      </c>
      <c r="E89" s="77">
        <v>31</v>
      </c>
      <c r="F89" s="77">
        <f t="shared" si="2"/>
        <v>4</v>
      </c>
      <c r="G89" s="77">
        <f t="shared" si="3"/>
        <v>2011</v>
      </c>
      <c r="H89" s="77">
        <f>SUM(Interesse_digital[[#This Row],[hotel ''ro'']],Interesse_digital[[#This Row],[pousada ''ro'']])</f>
        <v>16</v>
      </c>
      <c r="I89" s="77">
        <f>SUM(Interesse_digital[[#This Row],[hotel ''cf'']],Interesse_digital[[#This Row],[pousada ''cf'']])</f>
        <v>52</v>
      </c>
    </row>
    <row r="90" spans="1:9">
      <c r="A90" s="106">
        <v>40664</v>
      </c>
      <c r="B90" s="77">
        <v>5</v>
      </c>
      <c r="C90" s="77">
        <v>16</v>
      </c>
      <c r="D90" s="77">
        <v>8</v>
      </c>
      <c r="E90" s="77">
        <v>19</v>
      </c>
      <c r="F90" s="77">
        <f t="shared" si="2"/>
        <v>5</v>
      </c>
      <c r="G90" s="77">
        <f t="shared" si="3"/>
        <v>2011</v>
      </c>
      <c r="H90" s="77">
        <f>SUM(Interesse_digital[[#This Row],[hotel ''ro'']],Interesse_digital[[#This Row],[pousada ''ro'']])</f>
        <v>13</v>
      </c>
      <c r="I90" s="77">
        <f>SUM(Interesse_digital[[#This Row],[hotel ''cf'']],Interesse_digital[[#This Row],[pousada ''cf'']])</f>
        <v>35</v>
      </c>
    </row>
    <row r="91" spans="1:9">
      <c r="A91" s="106">
        <v>40695</v>
      </c>
      <c r="B91" s="77">
        <v>6</v>
      </c>
      <c r="C91" s="77">
        <v>15</v>
      </c>
      <c r="D91" s="77">
        <v>10</v>
      </c>
      <c r="E91" s="77">
        <v>17</v>
      </c>
      <c r="F91" s="77">
        <f t="shared" si="2"/>
        <v>6</v>
      </c>
      <c r="G91" s="77">
        <f t="shared" si="3"/>
        <v>2011</v>
      </c>
      <c r="H91" s="77">
        <f>SUM(Interesse_digital[[#This Row],[hotel ''ro'']],Interesse_digital[[#This Row],[pousada ''ro'']])</f>
        <v>16</v>
      </c>
      <c r="I91" s="77">
        <f>SUM(Interesse_digital[[#This Row],[hotel ''cf'']],Interesse_digital[[#This Row],[pousada ''cf'']])</f>
        <v>32</v>
      </c>
    </row>
    <row r="92" spans="1:9">
      <c r="A92" s="106">
        <v>40725</v>
      </c>
      <c r="B92" s="77">
        <v>6</v>
      </c>
      <c r="C92" s="77">
        <v>19</v>
      </c>
      <c r="D92" s="77">
        <v>9</v>
      </c>
      <c r="E92" s="77">
        <v>26</v>
      </c>
      <c r="F92" s="77">
        <f t="shared" si="2"/>
        <v>7</v>
      </c>
      <c r="G92" s="77">
        <f t="shared" si="3"/>
        <v>2011</v>
      </c>
      <c r="H92" s="77">
        <f>SUM(Interesse_digital[[#This Row],[hotel ''ro'']],Interesse_digital[[#This Row],[pousada ''ro'']])</f>
        <v>15</v>
      </c>
      <c r="I92" s="77">
        <f>SUM(Interesse_digital[[#This Row],[hotel ''cf'']],Interesse_digital[[#This Row],[pousada ''cf'']])</f>
        <v>45</v>
      </c>
    </row>
    <row r="93" spans="1:9">
      <c r="A93" s="106">
        <v>40756</v>
      </c>
      <c r="B93" s="77">
        <v>6</v>
      </c>
      <c r="C93" s="77">
        <v>21</v>
      </c>
      <c r="D93" s="77">
        <v>10</v>
      </c>
      <c r="E93" s="77">
        <v>28</v>
      </c>
      <c r="F93" s="77">
        <f t="shared" si="2"/>
        <v>8</v>
      </c>
      <c r="G93" s="77">
        <f t="shared" si="3"/>
        <v>2011</v>
      </c>
      <c r="H93" s="77">
        <f>SUM(Interesse_digital[[#This Row],[hotel ''ro'']],Interesse_digital[[#This Row],[pousada ''ro'']])</f>
        <v>16</v>
      </c>
      <c r="I93" s="77">
        <f>SUM(Interesse_digital[[#This Row],[hotel ''cf'']],Interesse_digital[[#This Row],[pousada ''cf'']])</f>
        <v>49</v>
      </c>
    </row>
    <row r="94" spans="1:9">
      <c r="A94" s="106">
        <v>40787</v>
      </c>
      <c r="B94" s="77">
        <v>6</v>
      </c>
      <c r="C94" s="77">
        <v>24</v>
      </c>
      <c r="D94" s="77">
        <v>10</v>
      </c>
      <c r="E94" s="77">
        <v>31</v>
      </c>
      <c r="F94" s="77">
        <f t="shared" si="2"/>
        <v>9</v>
      </c>
      <c r="G94" s="77">
        <f t="shared" si="3"/>
        <v>2011</v>
      </c>
      <c r="H94" s="77">
        <f>SUM(Interesse_digital[[#This Row],[hotel ''ro'']],Interesse_digital[[#This Row],[pousada ''ro'']])</f>
        <v>16</v>
      </c>
      <c r="I94" s="77">
        <f>SUM(Interesse_digital[[#This Row],[hotel ''cf'']],Interesse_digital[[#This Row],[pousada ''cf'']])</f>
        <v>55</v>
      </c>
    </row>
    <row r="95" spans="1:9">
      <c r="A95" s="106">
        <v>40817</v>
      </c>
      <c r="B95" s="77">
        <v>6</v>
      </c>
      <c r="C95" s="77">
        <v>29</v>
      </c>
      <c r="D95" s="77">
        <v>12</v>
      </c>
      <c r="E95" s="77">
        <v>37</v>
      </c>
      <c r="F95" s="77">
        <f t="shared" si="2"/>
        <v>10</v>
      </c>
      <c r="G95" s="77">
        <f t="shared" si="3"/>
        <v>2011</v>
      </c>
      <c r="H95" s="77">
        <f>SUM(Interesse_digital[[#This Row],[hotel ''ro'']],Interesse_digital[[#This Row],[pousada ''ro'']])</f>
        <v>18</v>
      </c>
      <c r="I95" s="77">
        <f>SUM(Interesse_digital[[#This Row],[hotel ''cf'']],Interesse_digital[[#This Row],[pousada ''cf'']])</f>
        <v>66</v>
      </c>
    </row>
    <row r="96" spans="1:9">
      <c r="A96" s="106">
        <v>40848</v>
      </c>
      <c r="B96" s="77">
        <v>8</v>
      </c>
      <c r="C96" s="77">
        <v>33</v>
      </c>
      <c r="D96" s="77">
        <v>13</v>
      </c>
      <c r="E96" s="77">
        <v>46</v>
      </c>
      <c r="F96" s="77">
        <f t="shared" si="2"/>
        <v>11</v>
      </c>
      <c r="G96" s="77">
        <f t="shared" si="3"/>
        <v>2011</v>
      </c>
      <c r="H96" s="77">
        <f>SUM(Interesse_digital[[#This Row],[hotel ''ro'']],Interesse_digital[[#This Row],[pousada ''ro'']])</f>
        <v>21</v>
      </c>
      <c r="I96" s="77">
        <f>SUM(Interesse_digital[[#This Row],[hotel ''cf'']],Interesse_digital[[#This Row],[pousada ''cf'']])</f>
        <v>79</v>
      </c>
    </row>
    <row r="97" spans="1:9">
      <c r="A97" s="106">
        <v>40878</v>
      </c>
      <c r="B97" s="77">
        <v>7</v>
      </c>
      <c r="C97" s="77">
        <v>40</v>
      </c>
      <c r="D97" s="77">
        <v>14</v>
      </c>
      <c r="E97" s="77">
        <v>51</v>
      </c>
      <c r="F97" s="77">
        <f t="shared" si="2"/>
        <v>12</v>
      </c>
      <c r="G97" s="77">
        <f t="shared" si="3"/>
        <v>2011</v>
      </c>
      <c r="H97" s="77">
        <f>SUM(Interesse_digital[[#This Row],[hotel ''ro'']],Interesse_digital[[#This Row],[pousada ''ro'']])</f>
        <v>21</v>
      </c>
      <c r="I97" s="77">
        <f>SUM(Interesse_digital[[#This Row],[hotel ''cf'']],Interesse_digital[[#This Row],[pousada ''cf'']])</f>
        <v>91</v>
      </c>
    </row>
    <row r="98" spans="1:9">
      <c r="A98" s="106">
        <v>40909</v>
      </c>
      <c r="B98" s="77">
        <v>10</v>
      </c>
      <c r="C98" s="77">
        <v>52</v>
      </c>
      <c r="D98" s="77">
        <v>23</v>
      </c>
      <c r="E98" s="77">
        <v>74</v>
      </c>
      <c r="F98" s="77">
        <f t="shared" si="2"/>
        <v>1</v>
      </c>
      <c r="G98" s="77">
        <f t="shared" si="3"/>
        <v>2012</v>
      </c>
      <c r="H98" s="77">
        <f>SUM(Interesse_digital[[#This Row],[hotel ''ro'']],Interesse_digital[[#This Row],[pousada ''ro'']])</f>
        <v>33</v>
      </c>
      <c r="I98" s="77">
        <f>SUM(Interesse_digital[[#This Row],[hotel ''cf'']],Interesse_digital[[#This Row],[pousada ''cf'']])</f>
        <v>126</v>
      </c>
    </row>
    <row r="99" spans="1:9">
      <c r="A99" s="106">
        <v>40940</v>
      </c>
      <c r="B99" s="77">
        <v>8</v>
      </c>
      <c r="C99" s="77">
        <v>32</v>
      </c>
      <c r="D99" s="77">
        <v>18</v>
      </c>
      <c r="E99" s="77">
        <v>43</v>
      </c>
      <c r="F99" s="77">
        <f t="shared" si="2"/>
        <v>2</v>
      </c>
      <c r="G99" s="77">
        <f t="shared" si="3"/>
        <v>2012</v>
      </c>
      <c r="H99" s="77">
        <f>SUM(Interesse_digital[[#This Row],[hotel ''ro'']],Interesse_digital[[#This Row],[pousada ''ro'']])</f>
        <v>26</v>
      </c>
      <c r="I99" s="77">
        <f>SUM(Interesse_digital[[#This Row],[hotel ''cf'']],Interesse_digital[[#This Row],[pousada ''cf'']])</f>
        <v>75</v>
      </c>
    </row>
    <row r="100" spans="1:9">
      <c r="A100" s="106">
        <v>40969</v>
      </c>
      <c r="B100" s="77">
        <v>9</v>
      </c>
      <c r="C100" s="77">
        <v>27</v>
      </c>
      <c r="D100" s="77">
        <v>18</v>
      </c>
      <c r="E100" s="77">
        <v>32</v>
      </c>
      <c r="F100" s="77">
        <f t="shared" si="2"/>
        <v>3</v>
      </c>
      <c r="G100" s="77">
        <f t="shared" si="3"/>
        <v>2012</v>
      </c>
      <c r="H100" s="77">
        <f>SUM(Interesse_digital[[#This Row],[hotel ''ro'']],Interesse_digital[[#This Row],[pousada ''ro'']])</f>
        <v>27</v>
      </c>
      <c r="I100" s="77">
        <f>SUM(Interesse_digital[[#This Row],[hotel ''cf'']],Interesse_digital[[#This Row],[pousada ''cf'']])</f>
        <v>59</v>
      </c>
    </row>
    <row r="101" spans="1:9">
      <c r="A101" s="106">
        <v>41000</v>
      </c>
      <c r="B101" s="77">
        <v>7</v>
      </c>
      <c r="C101" s="77">
        <v>19</v>
      </c>
      <c r="D101" s="77">
        <v>15</v>
      </c>
      <c r="E101" s="77">
        <v>23</v>
      </c>
      <c r="F101" s="77">
        <f t="shared" si="2"/>
        <v>4</v>
      </c>
      <c r="G101" s="77">
        <f t="shared" si="3"/>
        <v>2012</v>
      </c>
      <c r="H101" s="77">
        <f>SUM(Interesse_digital[[#This Row],[hotel ''ro'']],Interesse_digital[[#This Row],[pousada ''ro'']])</f>
        <v>22</v>
      </c>
      <c r="I101" s="77">
        <f>SUM(Interesse_digital[[#This Row],[hotel ''cf'']],Interesse_digital[[#This Row],[pousada ''cf'']])</f>
        <v>42</v>
      </c>
    </row>
    <row r="102" spans="1:9">
      <c r="A102" s="106">
        <v>41030</v>
      </c>
      <c r="B102" s="77">
        <v>4</v>
      </c>
      <c r="C102" s="77">
        <v>13</v>
      </c>
      <c r="D102" s="77">
        <v>7</v>
      </c>
      <c r="E102" s="77">
        <v>13</v>
      </c>
      <c r="F102" s="77">
        <f t="shared" si="2"/>
        <v>5</v>
      </c>
      <c r="G102" s="77">
        <f t="shared" si="3"/>
        <v>2012</v>
      </c>
      <c r="H102" s="77">
        <f>SUM(Interesse_digital[[#This Row],[hotel ''ro'']],Interesse_digital[[#This Row],[pousada ''ro'']])</f>
        <v>11</v>
      </c>
      <c r="I102" s="77">
        <f>SUM(Interesse_digital[[#This Row],[hotel ''cf'']],Interesse_digital[[#This Row],[pousada ''cf'']])</f>
        <v>26</v>
      </c>
    </row>
    <row r="103" spans="1:9">
      <c r="A103" s="106">
        <v>41061</v>
      </c>
      <c r="B103" s="77">
        <v>4</v>
      </c>
      <c r="C103" s="77">
        <v>15</v>
      </c>
      <c r="D103" s="77">
        <v>8</v>
      </c>
      <c r="E103" s="77">
        <v>18</v>
      </c>
      <c r="F103" s="77">
        <f t="shared" si="2"/>
        <v>6</v>
      </c>
      <c r="G103" s="77">
        <f t="shared" si="3"/>
        <v>2012</v>
      </c>
      <c r="H103" s="77">
        <f>SUM(Interesse_digital[[#This Row],[hotel ''ro'']],Interesse_digital[[#This Row],[pousada ''ro'']])</f>
        <v>12</v>
      </c>
      <c r="I103" s="77">
        <f>SUM(Interesse_digital[[#This Row],[hotel ''cf'']],Interesse_digital[[#This Row],[pousada ''cf'']])</f>
        <v>33</v>
      </c>
    </row>
    <row r="104" spans="1:9">
      <c r="A104" s="106">
        <v>41091</v>
      </c>
      <c r="B104" s="77">
        <v>5</v>
      </c>
      <c r="C104" s="77">
        <v>20</v>
      </c>
      <c r="D104" s="77">
        <v>8</v>
      </c>
      <c r="E104" s="77">
        <v>26</v>
      </c>
      <c r="F104" s="77">
        <f t="shared" si="2"/>
        <v>7</v>
      </c>
      <c r="G104" s="77">
        <f t="shared" si="3"/>
        <v>2012</v>
      </c>
      <c r="H104" s="77">
        <f>SUM(Interesse_digital[[#This Row],[hotel ''ro'']],Interesse_digital[[#This Row],[pousada ''ro'']])</f>
        <v>13</v>
      </c>
      <c r="I104" s="77">
        <f>SUM(Interesse_digital[[#This Row],[hotel ''cf'']],Interesse_digital[[#This Row],[pousada ''cf'']])</f>
        <v>46</v>
      </c>
    </row>
    <row r="105" spans="1:9">
      <c r="A105" s="106">
        <v>41122</v>
      </c>
      <c r="B105" s="77">
        <v>5</v>
      </c>
      <c r="C105" s="77">
        <v>23</v>
      </c>
      <c r="D105" s="77">
        <v>13</v>
      </c>
      <c r="E105" s="77">
        <v>30</v>
      </c>
      <c r="F105" s="77">
        <f t="shared" si="2"/>
        <v>8</v>
      </c>
      <c r="G105" s="77">
        <f t="shared" si="3"/>
        <v>2012</v>
      </c>
      <c r="H105" s="77">
        <f>SUM(Interesse_digital[[#This Row],[hotel ''ro'']],Interesse_digital[[#This Row],[pousada ''ro'']])</f>
        <v>18</v>
      </c>
      <c r="I105" s="77">
        <f>SUM(Interesse_digital[[#This Row],[hotel ''cf'']],Interesse_digital[[#This Row],[pousada ''cf'']])</f>
        <v>53</v>
      </c>
    </row>
    <row r="106" spans="1:9">
      <c r="A106" s="106">
        <v>41153</v>
      </c>
      <c r="B106" s="77">
        <v>5</v>
      </c>
      <c r="C106" s="77">
        <v>29</v>
      </c>
      <c r="D106" s="77">
        <v>13</v>
      </c>
      <c r="E106" s="77">
        <v>36</v>
      </c>
      <c r="F106" s="77">
        <f t="shared" si="2"/>
        <v>9</v>
      </c>
      <c r="G106" s="77">
        <f t="shared" si="3"/>
        <v>2012</v>
      </c>
      <c r="H106" s="77">
        <f>SUM(Interesse_digital[[#This Row],[hotel ''ro'']],Interesse_digital[[#This Row],[pousada ''ro'']])</f>
        <v>18</v>
      </c>
      <c r="I106" s="77">
        <f>SUM(Interesse_digital[[#This Row],[hotel ''cf'']],Interesse_digital[[#This Row],[pousada ''cf'']])</f>
        <v>65</v>
      </c>
    </row>
    <row r="107" spans="1:9">
      <c r="A107" s="106">
        <v>41183</v>
      </c>
      <c r="B107" s="77">
        <v>7</v>
      </c>
      <c r="C107" s="77">
        <v>35</v>
      </c>
      <c r="D107" s="77">
        <v>14</v>
      </c>
      <c r="E107" s="77">
        <v>44</v>
      </c>
      <c r="F107" s="77">
        <f t="shared" si="2"/>
        <v>10</v>
      </c>
      <c r="G107" s="77">
        <f t="shared" si="3"/>
        <v>2012</v>
      </c>
      <c r="H107" s="77">
        <f>SUM(Interesse_digital[[#This Row],[hotel ''ro'']],Interesse_digital[[#This Row],[pousada ''ro'']])</f>
        <v>21</v>
      </c>
      <c r="I107" s="77">
        <f>SUM(Interesse_digital[[#This Row],[hotel ''cf'']],Interesse_digital[[#This Row],[pousada ''cf'']])</f>
        <v>79</v>
      </c>
    </row>
    <row r="108" spans="1:9">
      <c r="A108" s="106">
        <v>41214</v>
      </c>
      <c r="B108" s="77">
        <v>7</v>
      </c>
      <c r="C108" s="77">
        <v>30</v>
      </c>
      <c r="D108" s="77">
        <v>15</v>
      </c>
      <c r="E108" s="77">
        <v>41</v>
      </c>
      <c r="F108" s="77">
        <f t="shared" si="2"/>
        <v>11</v>
      </c>
      <c r="G108" s="77">
        <f t="shared" si="3"/>
        <v>2012</v>
      </c>
      <c r="H108" s="77">
        <f>SUM(Interesse_digital[[#This Row],[hotel ''ro'']],Interesse_digital[[#This Row],[pousada ''ro'']])</f>
        <v>22</v>
      </c>
      <c r="I108" s="77">
        <f>SUM(Interesse_digital[[#This Row],[hotel ''cf'']],Interesse_digital[[#This Row],[pousada ''cf'']])</f>
        <v>71</v>
      </c>
    </row>
    <row r="109" spans="1:9">
      <c r="A109" s="106">
        <v>41244</v>
      </c>
      <c r="B109" s="77">
        <v>8</v>
      </c>
      <c r="C109" s="77">
        <v>41</v>
      </c>
      <c r="D109" s="77">
        <v>17</v>
      </c>
      <c r="E109" s="77">
        <v>52</v>
      </c>
      <c r="F109" s="77">
        <f t="shared" si="2"/>
        <v>12</v>
      </c>
      <c r="G109" s="77">
        <f t="shared" si="3"/>
        <v>2012</v>
      </c>
      <c r="H109" s="77">
        <f>SUM(Interesse_digital[[#This Row],[hotel ''ro'']],Interesse_digital[[#This Row],[pousada ''ro'']])</f>
        <v>25</v>
      </c>
      <c r="I109" s="77">
        <f>SUM(Interesse_digital[[#This Row],[hotel ''cf'']],Interesse_digital[[#This Row],[pousada ''cf'']])</f>
        <v>93</v>
      </c>
    </row>
    <row r="110" spans="1:9">
      <c r="A110" s="106">
        <v>41275</v>
      </c>
      <c r="B110" s="77">
        <v>9</v>
      </c>
      <c r="C110" s="77">
        <v>46</v>
      </c>
      <c r="D110" s="77">
        <v>19</v>
      </c>
      <c r="E110" s="77">
        <v>63</v>
      </c>
      <c r="F110" s="77">
        <f t="shared" si="2"/>
        <v>1</v>
      </c>
      <c r="G110" s="77">
        <f t="shared" si="3"/>
        <v>2013</v>
      </c>
      <c r="H110" s="77">
        <f>SUM(Interesse_digital[[#This Row],[hotel ''ro'']],Interesse_digital[[#This Row],[pousada ''ro'']])</f>
        <v>28</v>
      </c>
      <c r="I110" s="77">
        <f>SUM(Interesse_digital[[#This Row],[hotel ''cf'']],Interesse_digital[[#This Row],[pousada ''cf'']])</f>
        <v>109</v>
      </c>
    </row>
    <row r="111" spans="1:9">
      <c r="A111" s="106">
        <v>41306</v>
      </c>
      <c r="B111" s="77">
        <v>7</v>
      </c>
      <c r="C111" s="77">
        <v>28</v>
      </c>
      <c r="D111" s="77">
        <v>13</v>
      </c>
      <c r="E111" s="77">
        <v>36</v>
      </c>
      <c r="F111" s="77">
        <f t="shared" si="2"/>
        <v>2</v>
      </c>
      <c r="G111" s="77">
        <f t="shared" si="3"/>
        <v>2013</v>
      </c>
      <c r="H111" s="77">
        <f>SUM(Interesse_digital[[#This Row],[hotel ''ro'']],Interesse_digital[[#This Row],[pousada ''ro'']])</f>
        <v>20</v>
      </c>
      <c r="I111" s="77">
        <f>SUM(Interesse_digital[[#This Row],[hotel ''cf'']],Interesse_digital[[#This Row],[pousada ''cf'']])</f>
        <v>64</v>
      </c>
    </row>
    <row r="112" spans="1:9">
      <c r="A112" s="106">
        <v>41334</v>
      </c>
      <c r="B112" s="77">
        <v>5</v>
      </c>
      <c r="C112" s="77">
        <v>21</v>
      </c>
      <c r="D112" s="77">
        <v>11</v>
      </c>
      <c r="E112" s="77">
        <v>31</v>
      </c>
      <c r="F112" s="77">
        <f t="shared" si="2"/>
        <v>3</v>
      </c>
      <c r="G112" s="77">
        <f t="shared" si="3"/>
        <v>2013</v>
      </c>
      <c r="H112" s="77">
        <f>SUM(Interesse_digital[[#This Row],[hotel ''ro'']],Interesse_digital[[#This Row],[pousada ''ro'']])</f>
        <v>16</v>
      </c>
      <c r="I112" s="77">
        <f>SUM(Interesse_digital[[#This Row],[hotel ''cf'']],Interesse_digital[[#This Row],[pousada ''cf'']])</f>
        <v>52</v>
      </c>
    </row>
    <row r="113" spans="1:9">
      <c r="A113" s="106">
        <v>41365</v>
      </c>
      <c r="B113" s="77">
        <v>5</v>
      </c>
      <c r="C113" s="77">
        <v>15</v>
      </c>
      <c r="D113" s="77">
        <v>9</v>
      </c>
      <c r="E113" s="77">
        <v>20</v>
      </c>
      <c r="F113" s="77">
        <f t="shared" si="2"/>
        <v>4</v>
      </c>
      <c r="G113" s="77">
        <f t="shared" si="3"/>
        <v>2013</v>
      </c>
      <c r="H113" s="77">
        <f>SUM(Interesse_digital[[#This Row],[hotel ''ro'']],Interesse_digital[[#This Row],[pousada ''ro'']])</f>
        <v>14</v>
      </c>
      <c r="I113" s="77">
        <f>SUM(Interesse_digital[[#This Row],[hotel ''cf'']],Interesse_digital[[#This Row],[pousada ''cf'']])</f>
        <v>35</v>
      </c>
    </row>
    <row r="114" spans="1:9">
      <c r="A114" s="106">
        <v>41395</v>
      </c>
      <c r="B114" s="77">
        <v>6</v>
      </c>
      <c r="C114" s="77">
        <v>15</v>
      </c>
      <c r="D114" s="77">
        <v>10</v>
      </c>
      <c r="E114" s="77">
        <v>17</v>
      </c>
      <c r="F114" s="77">
        <f t="shared" si="2"/>
        <v>5</v>
      </c>
      <c r="G114" s="77">
        <f t="shared" si="3"/>
        <v>2013</v>
      </c>
      <c r="H114" s="77">
        <f>SUM(Interesse_digital[[#This Row],[hotel ''ro'']],Interesse_digital[[#This Row],[pousada ''ro'']])</f>
        <v>16</v>
      </c>
      <c r="I114" s="77">
        <f>SUM(Interesse_digital[[#This Row],[hotel ''cf'']],Interesse_digital[[#This Row],[pousada ''cf'']])</f>
        <v>32</v>
      </c>
    </row>
    <row r="115" spans="1:9">
      <c r="A115" s="106">
        <v>41426</v>
      </c>
      <c r="B115" s="77">
        <v>4</v>
      </c>
      <c r="C115" s="77">
        <v>12</v>
      </c>
      <c r="D115" s="77">
        <v>8</v>
      </c>
      <c r="E115" s="77">
        <v>16</v>
      </c>
      <c r="F115" s="77">
        <f t="shared" si="2"/>
        <v>6</v>
      </c>
      <c r="G115" s="77">
        <f t="shared" si="3"/>
        <v>2013</v>
      </c>
      <c r="H115" s="77">
        <f>SUM(Interesse_digital[[#This Row],[hotel ''ro'']],Interesse_digital[[#This Row],[pousada ''ro'']])</f>
        <v>12</v>
      </c>
      <c r="I115" s="77">
        <f>SUM(Interesse_digital[[#This Row],[hotel ''cf'']],Interesse_digital[[#This Row],[pousada ''cf'']])</f>
        <v>28</v>
      </c>
    </row>
    <row r="116" spans="1:9">
      <c r="A116" s="106">
        <v>41456</v>
      </c>
      <c r="B116" s="77">
        <v>6</v>
      </c>
      <c r="C116" s="77">
        <v>23</v>
      </c>
      <c r="D116" s="77">
        <v>10</v>
      </c>
      <c r="E116" s="77">
        <v>27</v>
      </c>
      <c r="F116" s="77">
        <f t="shared" si="2"/>
        <v>7</v>
      </c>
      <c r="G116" s="77">
        <f t="shared" si="3"/>
        <v>2013</v>
      </c>
      <c r="H116" s="77">
        <f>SUM(Interesse_digital[[#This Row],[hotel ''ro'']],Interesse_digital[[#This Row],[pousada ''ro'']])</f>
        <v>16</v>
      </c>
      <c r="I116" s="77">
        <f>SUM(Interesse_digital[[#This Row],[hotel ''cf'']],Interesse_digital[[#This Row],[pousada ''cf'']])</f>
        <v>50</v>
      </c>
    </row>
    <row r="117" spans="1:9">
      <c r="A117" s="106">
        <v>41487</v>
      </c>
      <c r="B117" s="77">
        <v>6</v>
      </c>
      <c r="C117" s="77">
        <v>23</v>
      </c>
      <c r="D117" s="77">
        <v>9</v>
      </c>
      <c r="E117" s="77">
        <v>28</v>
      </c>
      <c r="F117" s="77">
        <f t="shared" si="2"/>
        <v>8</v>
      </c>
      <c r="G117" s="77">
        <f t="shared" si="3"/>
        <v>2013</v>
      </c>
      <c r="H117" s="77">
        <f>SUM(Interesse_digital[[#This Row],[hotel ''ro'']],Interesse_digital[[#This Row],[pousada ''ro'']])</f>
        <v>15</v>
      </c>
      <c r="I117" s="77">
        <f>SUM(Interesse_digital[[#This Row],[hotel ''cf'']],Interesse_digital[[#This Row],[pousada ''cf'']])</f>
        <v>51</v>
      </c>
    </row>
    <row r="118" spans="1:9">
      <c r="A118" s="106">
        <v>41518</v>
      </c>
      <c r="B118" s="77">
        <v>6</v>
      </c>
      <c r="C118" s="77">
        <v>28</v>
      </c>
      <c r="D118" s="77">
        <v>10</v>
      </c>
      <c r="E118" s="77">
        <v>36</v>
      </c>
      <c r="F118" s="77">
        <f t="shared" si="2"/>
        <v>9</v>
      </c>
      <c r="G118" s="77">
        <f t="shared" si="3"/>
        <v>2013</v>
      </c>
      <c r="H118" s="77">
        <f>SUM(Interesse_digital[[#This Row],[hotel ''ro'']],Interesse_digital[[#This Row],[pousada ''ro'']])</f>
        <v>16</v>
      </c>
      <c r="I118" s="77">
        <f>SUM(Interesse_digital[[#This Row],[hotel ''cf'']],Interesse_digital[[#This Row],[pousada ''cf'']])</f>
        <v>64</v>
      </c>
    </row>
    <row r="119" spans="1:9">
      <c r="A119" s="106">
        <v>41548</v>
      </c>
      <c r="B119" s="77">
        <v>6</v>
      </c>
      <c r="C119" s="77">
        <v>33</v>
      </c>
      <c r="D119" s="77">
        <v>12</v>
      </c>
      <c r="E119" s="77">
        <v>42</v>
      </c>
      <c r="F119" s="77">
        <f t="shared" si="2"/>
        <v>10</v>
      </c>
      <c r="G119" s="77">
        <f t="shared" si="3"/>
        <v>2013</v>
      </c>
      <c r="H119" s="77">
        <f>SUM(Interesse_digital[[#This Row],[hotel ''ro'']],Interesse_digital[[#This Row],[pousada ''ro'']])</f>
        <v>18</v>
      </c>
      <c r="I119" s="77">
        <f>SUM(Interesse_digital[[#This Row],[hotel ''cf'']],Interesse_digital[[#This Row],[pousada ''cf'']])</f>
        <v>75</v>
      </c>
    </row>
    <row r="120" spans="1:9">
      <c r="A120" s="106">
        <v>41579</v>
      </c>
      <c r="B120" s="77">
        <v>8</v>
      </c>
      <c r="C120" s="77">
        <v>39</v>
      </c>
      <c r="D120" s="77">
        <v>15</v>
      </c>
      <c r="E120" s="77">
        <v>54</v>
      </c>
      <c r="F120" s="77">
        <f t="shared" si="2"/>
        <v>11</v>
      </c>
      <c r="G120" s="77">
        <f t="shared" si="3"/>
        <v>2013</v>
      </c>
      <c r="H120" s="77">
        <f>SUM(Interesse_digital[[#This Row],[hotel ''ro'']],Interesse_digital[[#This Row],[pousada ''ro'']])</f>
        <v>23</v>
      </c>
      <c r="I120" s="77">
        <f>SUM(Interesse_digital[[#This Row],[hotel ''cf'']],Interesse_digital[[#This Row],[pousada ''cf'']])</f>
        <v>93</v>
      </c>
    </row>
    <row r="121" spans="1:9">
      <c r="A121" s="106">
        <v>41609</v>
      </c>
      <c r="B121" s="77">
        <v>7</v>
      </c>
      <c r="C121" s="77">
        <v>40</v>
      </c>
      <c r="D121" s="77">
        <v>15</v>
      </c>
      <c r="E121" s="77">
        <v>54</v>
      </c>
      <c r="F121" s="77">
        <f t="shared" si="2"/>
        <v>12</v>
      </c>
      <c r="G121" s="77">
        <f t="shared" si="3"/>
        <v>2013</v>
      </c>
      <c r="H121" s="77">
        <f>SUM(Interesse_digital[[#This Row],[hotel ''ro'']],Interesse_digital[[#This Row],[pousada ''ro'']])</f>
        <v>22</v>
      </c>
      <c r="I121" s="77">
        <f>SUM(Interesse_digital[[#This Row],[hotel ''cf'']],Interesse_digital[[#This Row],[pousada ''cf'']])</f>
        <v>94</v>
      </c>
    </row>
    <row r="122" spans="1:9">
      <c r="A122" s="106">
        <v>41640</v>
      </c>
      <c r="B122" s="77">
        <v>12</v>
      </c>
      <c r="C122" s="77">
        <v>64</v>
      </c>
      <c r="D122" s="77">
        <v>26</v>
      </c>
      <c r="E122" s="77">
        <v>84</v>
      </c>
      <c r="F122" s="77">
        <f t="shared" si="2"/>
        <v>1</v>
      </c>
      <c r="G122" s="77">
        <f t="shared" si="3"/>
        <v>2014</v>
      </c>
      <c r="H122" s="77">
        <f>SUM(Interesse_digital[[#This Row],[hotel ''ro'']],Interesse_digital[[#This Row],[pousada ''ro'']])</f>
        <v>38</v>
      </c>
      <c r="I122" s="77">
        <f>SUM(Interesse_digital[[#This Row],[hotel ''cf'']],Interesse_digital[[#This Row],[pousada ''cf'']])</f>
        <v>148</v>
      </c>
    </row>
    <row r="123" spans="1:9">
      <c r="A123" s="106">
        <v>41671</v>
      </c>
      <c r="B123" s="77">
        <v>7</v>
      </c>
      <c r="C123" s="77">
        <v>30</v>
      </c>
      <c r="D123" s="77">
        <v>15</v>
      </c>
      <c r="E123" s="77">
        <v>44</v>
      </c>
      <c r="F123" s="77">
        <f t="shared" si="2"/>
        <v>2</v>
      </c>
      <c r="G123" s="77">
        <f t="shared" si="3"/>
        <v>2014</v>
      </c>
      <c r="H123" s="77">
        <f>SUM(Interesse_digital[[#This Row],[hotel ''ro'']],Interesse_digital[[#This Row],[pousada ''ro'']])</f>
        <v>22</v>
      </c>
      <c r="I123" s="77">
        <f>SUM(Interesse_digital[[#This Row],[hotel ''cf'']],Interesse_digital[[#This Row],[pousada ''cf'']])</f>
        <v>74</v>
      </c>
    </row>
    <row r="124" spans="1:9">
      <c r="A124" s="106">
        <v>41699</v>
      </c>
      <c r="B124" s="77">
        <v>6</v>
      </c>
      <c r="C124" s="77">
        <v>27</v>
      </c>
      <c r="D124" s="77">
        <v>13</v>
      </c>
      <c r="E124" s="77">
        <v>35</v>
      </c>
      <c r="F124" s="77">
        <f t="shared" si="2"/>
        <v>3</v>
      </c>
      <c r="G124" s="77">
        <f t="shared" si="3"/>
        <v>2014</v>
      </c>
      <c r="H124" s="77">
        <f>SUM(Interesse_digital[[#This Row],[hotel ''ro'']],Interesse_digital[[#This Row],[pousada ''ro'']])</f>
        <v>19</v>
      </c>
      <c r="I124" s="77">
        <f>SUM(Interesse_digital[[#This Row],[hotel ''cf'']],Interesse_digital[[#This Row],[pousada ''cf'']])</f>
        <v>62</v>
      </c>
    </row>
    <row r="125" spans="1:9">
      <c r="A125" s="106">
        <v>41730</v>
      </c>
      <c r="B125" s="77">
        <v>5</v>
      </c>
      <c r="C125" s="77">
        <v>19</v>
      </c>
      <c r="D125" s="77">
        <v>10</v>
      </c>
      <c r="E125" s="77">
        <v>22</v>
      </c>
      <c r="F125" s="77">
        <f t="shared" si="2"/>
        <v>4</v>
      </c>
      <c r="G125" s="77">
        <f t="shared" si="3"/>
        <v>2014</v>
      </c>
      <c r="H125" s="77">
        <f>SUM(Interesse_digital[[#This Row],[hotel ''ro'']],Interesse_digital[[#This Row],[pousada ''ro'']])</f>
        <v>15</v>
      </c>
      <c r="I125" s="77">
        <f>SUM(Interesse_digital[[#This Row],[hotel ''cf'']],Interesse_digital[[#This Row],[pousada ''cf'']])</f>
        <v>41</v>
      </c>
    </row>
    <row r="126" spans="1:9">
      <c r="A126" s="106">
        <v>41760</v>
      </c>
      <c r="B126" s="77">
        <v>4</v>
      </c>
      <c r="C126" s="77">
        <v>12</v>
      </c>
      <c r="D126" s="77">
        <v>6</v>
      </c>
      <c r="E126" s="77">
        <v>16</v>
      </c>
      <c r="F126" s="77">
        <f t="shared" si="2"/>
        <v>5</v>
      </c>
      <c r="G126" s="77">
        <f t="shared" si="3"/>
        <v>2014</v>
      </c>
      <c r="H126" s="77">
        <f>SUM(Interesse_digital[[#This Row],[hotel ''ro'']],Interesse_digital[[#This Row],[pousada ''ro'']])</f>
        <v>10</v>
      </c>
      <c r="I126" s="77">
        <f>SUM(Interesse_digital[[#This Row],[hotel ''cf'']],Interesse_digital[[#This Row],[pousada ''cf'']])</f>
        <v>28</v>
      </c>
    </row>
    <row r="127" spans="1:9">
      <c r="A127" s="106">
        <v>41791</v>
      </c>
      <c r="B127" s="77">
        <v>4</v>
      </c>
      <c r="C127" s="77">
        <v>15</v>
      </c>
      <c r="D127" s="77">
        <v>8</v>
      </c>
      <c r="E127" s="77">
        <v>17</v>
      </c>
      <c r="F127" s="77">
        <f t="shared" si="2"/>
        <v>6</v>
      </c>
      <c r="G127" s="77">
        <f t="shared" si="3"/>
        <v>2014</v>
      </c>
      <c r="H127" s="77">
        <f>SUM(Interesse_digital[[#This Row],[hotel ''ro'']],Interesse_digital[[#This Row],[pousada ''ro'']])</f>
        <v>12</v>
      </c>
      <c r="I127" s="77">
        <f>SUM(Interesse_digital[[#This Row],[hotel ''cf'']],Interesse_digital[[#This Row],[pousada ''cf'']])</f>
        <v>32</v>
      </c>
    </row>
    <row r="128" spans="1:9">
      <c r="A128" s="106">
        <v>41821</v>
      </c>
      <c r="B128" s="77">
        <v>5</v>
      </c>
      <c r="C128" s="77">
        <v>20</v>
      </c>
      <c r="D128" s="77">
        <v>9</v>
      </c>
      <c r="E128" s="77">
        <v>22</v>
      </c>
      <c r="F128" s="77">
        <f t="shared" si="2"/>
        <v>7</v>
      </c>
      <c r="G128" s="77">
        <f t="shared" si="3"/>
        <v>2014</v>
      </c>
      <c r="H128" s="77">
        <f>SUM(Interesse_digital[[#This Row],[hotel ''ro'']],Interesse_digital[[#This Row],[pousada ''ro'']])</f>
        <v>14</v>
      </c>
      <c r="I128" s="77">
        <f>SUM(Interesse_digital[[#This Row],[hotel ''cf'']],Interesse_digital[[#This Row],[pousada ''cf'']])</f>
        <v>42</v>
      </c>
    </row>
    <row r="129" spans="1:9">
      <c r="A129" s="106">
        <v>41852</v>
      </c>
      <c r="B129" s="77">
        <v>7</v>
      </c>
      <c r="C129" s="77">
        <v>22</v>
      </c>
      <c r="D129" s="77">
        <v>11</v>
      </c>
      <c r="E129" s="77">
        <v>29</v>
      </c>
      <c r="F129" s="77">
        <f t="shared" si="2"/>
        <v>8</v>
      </c>
      <c r="G129" s="77">
        <f t="shared" si="3"/>
        <v>2014</v>
      </c>
      <c r="H129" s="77">
        <f>SUM(Interesse_digital[[#This Row],[hotel ''ro'']],Interesse_digital[[#This Row],[pousada ''ro'']])</f>
        <v>18</v>
      </c>
      <c r="I129" s="77">
        <f>SUM(Interesse_digital[[#This Row],[hotel ''cf'']],Interesse_digital[[#This Row],[pousada ''cf'']])</f>
        <v>51</v>
      </c>
    </row>
    <row r="130" spans="1:9">
      <c r="A130" s="106">
        <v>41883</v>
      </c>
      <c r="B130" s="77">
        <v>6</v>
      </c>
      <c r="C130" s="77">
        <v>28</v>
      </c>
      <c r="D130" s="77">
        <v>11</v>
      </c>
      <c r="E130" s="77">
        <v>39</v>
      </c>
      <c r="F130" s="77">
        <f t="shared" ref="F130:F193" si="4">MONTH(A130)</f>
        <v>9</v>
      </c>
      <c r="G130" s="77">
        <f t="shared" ref="G130:G193" si="5">YEAR(A130)</f>
        <v>2014</v>
      </c>
      <c r="H130" s="77">
        <f>SUM(Interesse_digital[[#This Row],[hotel ''ro'']],Interesse_digital[[#This Row],[pousada ''ro'']])</f>
        <v>17</v>
      </c>
      <c r="I130" s="77">
        <f>SUM(Interesse_digital[[#This Row],[hotel ''cf'']],Interesse_digital[[#This Row],[pousada ''cf'']])</f>
        <v>67</v>
      </c>
    </row>
    <row r="131" spans="1:9">
      <c r="A131" s="106">
        <v>41913</v>
      </c>
      <c r="B131" s="77">
        <v>7</v>
      </c>
      <c r="C131" s="77">
        <v>40</v>
      </c>
      <c r="D131" s="77">
        <v>13</v>
      </c>
      <c r="E131" s="77">
        <v>52</v>
      </c>
      <c r="F131" s="77">
        <f t="shared" si="4"/>
        <v>10</v>
      </c>
      <c r="G131" s="77">
        <f t="shared" si="5"/>
        <v>2014</v>
      </c>
      <c r="H131" s="77">
        <f>SUM(Interesse_digital[[#This Row],[hotel ''ro'']],Interesse_digital[[#This Row],[pousada ''ro'']])</f>
        <v>20</v>
      </c>
      <c r="I131" s="77">
        <f>SUM(Interesse_digital[[#This Row],[hotel ''cf'']],Interesse_digital[[#This Row],[pousada ''cf'']])</f>
        <v>92</v>
      </c>
    </row>
    <row r="132" spans="1:9">
      <c r="A132" s="106">
        <v>41944</v>
      </c>
      <c r="B132" s="77">
        <v>8</v>
      </c>
      <c r="C132" s="77">
        <v>40</v>
      </c>
      <c r="D132" s="77">
        <v>15</v>
      </c>
      <c r="E132" s="77">
        <v>52</v>
      </c>
      <c r="F132" s="77">
        <f t="shared" si="4"/>
        <v>11</v>
      </c>
      <c r="G132" s="77">
        <f t="shared" si="5"/>
        <v>2014</v>
      </c>
      <c r="H132" s="77">
        <f>SUM(Interesse_digital[[#This Row],[hotel ''ro'']],Interesse_digital[[#This Row],[pousada ''ro'']])</f>
        <v>23</v>
      </c>
      <c r="I132" s="77">
        <f>SUM(Interesse_digital[[#This Row],[hotel ''cf'']],Interesse_digital[[#This Row],[pousada ''cf'']])</f>
        <v>92</v>
      </c>
    </row>
    <row r="133" spans="1:9">
      <c r="A133" s="106">
        <v>41974</v>
      </c>
      <c r="B133" s="77">
        <v>11</v>
      </c>
      <c r="C133" s="77">
        <v>48</v>
      </c>
      <c r="D133" s="77">
        <v>19</v>
      </c>
      <c r="E133" s="77">
        <v>66</v>
      </c>
      <c r="F133" s="77">
        <f t="shared" si="4"/>
        <v>12</v>
      </c>
      <c r="G133" s="77">
        <f t="shared" si="5"/>
        <v>2014</v>
      </c>
      <c r="H133" s="77">
        <f>SUM(Interesse_digital[[#This Row],[hotel ''ro'']],Interesse_digital[[#This Row],[pousada ''ro'']])</f>
        <v>30</v>
      </c>
      <c r="I133" s="77">
        <f>SUM(Interesse_digital[[#This Row],[hotel ''cf'']],Interesse_digital[[#This Row],[pousada ''cf'']])</f>
        <v>114</v>
      </c>
    </row>
    <row r="134" spans="1:9">
      <c r="A134" s="106">
        <v>42005</v>
      </c>
      <c r="B134" s="77">
        <v>13</v>
      </c>
      <c r="C134" s="77">
        <v>60</v>
      </c>
      <c r="D134" s="77">
        <v>27</v>
      </c>
      <c r="E134" s="77">
        <v>84</v>
      </c>
      <c r="F134" s="77">
        <f t="shared" si="4"/>
        <v>1</v>
      </c>
      <c r="G134" s="77">
        <f t="shared" si="5"/>
        <v>2015</v>
      </c>
      <c r="H134" s="77">
        <f>SUM(Interesse_digital[[#This Row],[hotel ''ro'']],Interesse_digital[[#This Row],[pousada ''ro'']])</f>
        <v>40</v>
      </c>
      <c r="I134" s="77">
        <f>SUM(Interesse_digital[[#This Row],[hotel ''cf'']],Interesse_digital[[#This Row],[pousada ''cf'']])</f>
        <v>144</v>
      </c>
    </row>
    <row r="135" spans="1:9">
      <c r="A135" s="106">
        <v>42036</v>
      </c>
      <c r="B135" s="77">
        <v>6</v>
      </c>
      <c r="C135" s="77">
        <v>31</v>
      </c>
      <c r="D135" s="77">
        <v>11</v>
      </c>
      <c r="E135" s="77">
        <v>39</v>
      </c>
      <c r="F135" s="77">
        <f t="shared" si="4"/>
        <v>2</v>
      </c>
      <c r="G135" s="77">
        <f t="shared" si="5"/>
        <v>2015</v>
      </c>
      <c r="H135" s="77">
        <f>SUM(Interesse_digital[[#This Row],[hotel ''ro'']],Interesse_digital[[#This Row],[pousada ''ro'']])</f>
        <v>17</v>
      </c>
      <c r="I135" s="77">
        <f>SUM(Interesse_digital[[#This Row],[hotel ''cf'']],Interesse_digital[[#This Row],[pousada ''cf'']])</f>
        <v>70</v>
      </c>
    </row>
    <row r="136" spans="1:9">
      <c r="A136" s="106">
        <v>42064</v>
      </c>
      <c r="B136" s="77">
        <v>5</v>
      </c>
      <c r="C136" s="77">
        <v>26</v>
      </c>
      <c r="D136" s="77">
        <v>11</v>
      </c>
      <c r="E136" s="77">
        <v>31</v>
      </c>
      <c r="F136" s="77">
        <f t="shared" si="4"/>
        <v>3</v>
      </c>
      <c r="G136" s="77">
        <f t="shared" si="5"/>
        <v>2015</v>
      </c>
      <c r="H136" s="77">
        <f>SUM(Interesse_digital[[#This Row],[hotel ''ro'']],Interesse_digital[[#This Row],[pousada ''ro'']])</f>
        <v>16</v>
      </c>
      <c r="I136" s="77">
        <f>SUM(Interesse_digital[[#This Row],[hotel ''cf'']],Interesse_digital[[#This Row],[pousada ''cf'']])</f>
        <v>57</v>
      </c>
    </row>
    <row r="137" spans="1:9">
      <c r="A137" s="106">
        <v>42095</v>
      </c>
      <c r="B137" s="77">
        <v>4</v>
      </c>
      <c r="C137" s="77">
        <v>21</v>
      </c>
      <c r="D137" s="77">
        <v>8</v>
      </c>
      <c r="E137" s="77">
        <v>25</v>
      </c>
      <c r="F137" s="77">
        <f t="shared" si="4"/>
        <v>4</v>
      </c>
      <c r="G137" s="77">
        <f t="shared" si="5"/>
        <v>2015</v>
      </c>
      <c r="H137" s="77">
        <f>SUM(Interesse_digital[[#This Row],[hotel ''ro'']],Interesse_digital[[#This Row],[pousada ''ro'']])</f>
        <v>12</v>
      </c>
      <c r="I137" s="77">
        <f>SUM(Interesse_digital[[#This Row],[hotel ''cf'']],Interesse_digital[[#This Row],[pousada ''cf'']])</f>
        <v>46</v>
      </c>
    </row>
    <row r="138" spans="1:9">
      <c r="A138" s="106">
        <v>42125</v>
      </c>
      <c r="B138" s="77">
        <v>3</v>
      </c>
      <c r="C138" s="77">
        <v>15</v>
      </c>
      <c r="D138" s="77">
        <v>5</v>
      </c>
      <c r="E138" s="77">
        <v>17</v>
      </c>
      <c r="F138" s="77">
        <f t="shared" si="4"/>
        <v>5</v>
      </c>
      <c r="G138" s="77">
        <f t="shared" si="5"/>
        <v>2015</v>
      </c>
      <c r="H138" s="77">
        <f>SUM(Interesse_digital[[#This Row],[hotel ''ro'']],Interesse_digital[[#This Row],[pousada ''ro'']])</f>
        <v>8</v>
      </c>
      <c r="I138" s="77">
        <f>SUM(Interesse_digital[[#This Row],[hotel ''cf'']],Interesse_digital[[#This Row],[pousada ''cf'']])</f>
        <v>32</v>
      </c>
    </row>
    <row r="139" spans="1:9">
      <c r="A139" s="106">
        <v>42156</v>
      </c>
      <c r="B139" s="77">
        <v>4</v>
      </c>
      <c r="C139" s="77">
        <v>17</v>
      </c>
      <c r="D139" s="77">
        <v>7</v>
      </c>
      <c r="E139" s="77">
        <v>18</v>
      </c>
      <c r="F139" s="77">
        <f t="shared" si="4"/>
        <v>6</v>
      </c>
      <c r="G139" s="77">
        <f t="shared" si="5"/>
        <v>2015</v>
      </c>
      <c r="H139" s="77">
        <f>SUM(Interesse_digital[[#This Row],[hotel ''ro'']],Interesse_digital[[#This Row],[pousada ''ro'']])</f>
        <v>11</v>
      </c>
      <c r="I139" s="77">
        <f>SUM(Interesse_digital[[#This Row],[hotel ''cf'']],Interesse_digital[[#This Row],[pousada ''cf'']])</f>
        <v>35</v>
      </c>
    </row>
    <row r="140" spans="1:9">
      <c r="A140" s="106">
        <v>42186</v>
      </c>
      <c r="B140" s="77">
        <v>4</v>
      </c>
      <c r="C140" s="77">
        <v>25</v>
      </c>
      <c r="D140" s="77">
        <v>9</v>
      </c>
      <c r="E140" s="77">
        <v>34</v>
      </c>
      <c r="F140" s="77">
        <f t="shared" si="4"/>
        <v>7</v>
      </c>
      <c r="G140" s="77">
        <f t="shared" si="5"/>
        <v>2015</v>
      </c>
      <c r="H140" s="77">
        <f>SUM(Interesse_digital[[#This Row],[hotel ''ro'']],Interesse_digital[[#This Row],[pousada ''ro'']])</f>
        <v>13</v>
      </c>
      <c r="I140" s="77">
        <f>SUM(Interesse_digital[[#This Row],[hotel ''cf'']],Interesse_digital[[#This Row],[pousada ''cf'']])</f>
        <v>59</v>
      </c>
    </row>
    <row r="141" spans="1:9">
      <c r="A141" s="106">
        <v>42217</v>
      </c>
      <c r="B141" s="77">
        <v>5</v>
      </c>
      <c r="C141" s="77">
        <v>28</v>
      </c>
      <c r="D141" s="77">
        <v>11</v>
      </c>
      <c r="E141" s="77">
        <v>39</v>
      </c>
      <c r="F141" s="77">
        <f t="shared" si="4"/>
        <v>8</v>
      </c>
      <c r="G141" s="77">
        <f t="shared" si="5"/>
        <v>2015</v>
      </c>
      <c r="H141" s="77">
        <f>SUM(Interesse_digital[[#This Row],[hotel ''ro'']],Interesse_digital[[#This Row],[pousada ''ro'']])</f>
        <v>16</v>
      </c>
      <c r="I141" s="77">
        <f>SUM(Interesse_digital[[#This Row],[hotel ''cf'']],Interesse_digital[[#This Row],[pousada ''cf'']])</f>
        <v>67</v>
      </c>
    </row>
    <row r="142" spans="1:9">
      <c r="A142" s="106">
        <v>42248</v>
      </c>
      <c r="B142" s="77">
        <v>5</v>
      </c>
      <c r="C142" s="77">
        <v>34</v>
      </c>
      <c r="D142" s="77">
        <v>10</v>
      </c>
      <c r="E142" s="77">
        <v>45</v>
      </c>
      <c r="F142" s="77">
        <f t="shared" si="4"/>
        <v>9</v>
      </c>
      <c r="G142" s="77">
        <f t="shared" si="5"/>
        <v>2015</v>
      </c>
      <c r="H142" s="77">
        <f>SUM(Interesse_digital[[#This Row],[hotel ''ro'']],Interesse_digital[[#This Row],[pousada ''ro'']])</f>
        <v>15</v>
      </c>
      <c r="I142" s="77">
        <f>SUM(Interesse_digital[[#This Row],[hotel ''cf'']],Interesse_digital[[#This Row],[pousada ''cf'']])</f>
        <v>79</v>
      </c>
    </row>
    <row r="143" spans="1:9">
      <c r="A143" s="106">
        <v>42278</v>
      </c>
      <c r="B143" s="77">
        <v>6</v>
      </c>
      <c r="C143" s="77">
        <v>43</v>
      </c>
      <c r="D143" s="77">
        <v>13</v>
      </c>
      <c r="E143" s="77">
        <v>57</v>
      </c>
      <c r="F143" s="77">
        <f t="shared" si="4"/>
        <v>10</v>
      </c>
      <c r="G143" s="77">
        <f t="shared" si="5"/>
        <v>2015</v>
      </c>
      <c r="H143" s="77">
        <f>SUM(Interesse_digital[[#This Row],[hotel ''ro'']],Interesse_digital[[#This Row],[pousada ''ro'']])</f>
        <v>19</v>
      </c>
      <c r="I143" s="77">
        <f>SUM(Interesse_digital[[#This Row],[hotel ''cf'']],Interesse_digital[[#This Row],[pousada ''cf'']])</f>
        <v>100</v>
      </c>
    </row>
    <row r="144" spans="1:9">
      <c r="A144" s="106">
        <v>42309</v>
      </c>
      <c r="B144" s="77">
        <v>6</v>
      </c>
      <c r="C144" s="77">
        <v>40</v>
      </c>
      <c r="D144" s="77">
        <v>13</v>
      </c>
      <c r="E144" s="77">
        <v>47</v>
      </c>
      <c r="F144" s="77">
        <f t="shared" si="4"/>
        <v>11</v>
      </c>
      <c r="G144" s="77">
        <f t="shared" si="5"/>
        <v>2015</v>
      </c>
      <c r="H144" s="77">
        <f>SUM(Interesse_digital[[#This Row],[hotel ''ro'']],Interesse_digital[[#This Row],[pousada ''ro'']])</f>
        <v>19</v>
      </c>
      <c r="I144" s="77">
        <f>SUM(Interesse_digital[[#This Row],[hotel ''cf'']],Interesse_digital[[#This Row],[pousada ''cf'']])</f>
        <v>87</v>
      </c>
    </row>
    <row r="145" spans="1:9">
      <c r="A145" s="106">
        <v>42339</v>
      </c>
      <c r="B145" s="77">
        <v>7</v>
      </c>
      <c r="C145" s="77">
        <v>49</v>
      </c>
      <c r="D145" s="77">
        <v>16</v>
      </c>
      <c r="E145" s="77">
        <v>62</v>
      </c>
      <c r="F145" s="77">
        <f t="shared" si="4"/>
        <v>12</v>
      </c>
      <c r="G145" s="77">
        <f t="shared" si="5"/>
        <v>2015</v>
      </c>
      <c r="H145" s="77">
        <f>SUM(Interesse_digital[[#This Row],[hotel ''ro'']],Interesse_digital[[#This Row],[pousada ''ro'']])</f>
        <v>23</v>
      </c>
      <c r="I145" s="77">
        <f>SUM(Interesse_digital[[#This Row],[hotel ''cf'']],Interesse_digital[[#This Row],[pousada ''cf'']])</f>
        <v>111</v>
      </c>
    </row>
    <row r="146" spans="1:9">
      <c r="A146" s="106">
        <v>42370</v>
      </c>
      <c r="B146" s="77">
        <v>7</v>
      </c>
      <c r="C146" s="77">
        <v>52</v>
      </c>
      <c r="D146" s="77">
        <v>18</v>
      </c>
      <c r="E146" s="77">
        <v>71</v>
      </c>
      <c r="F146" s="77">
        <f t="shared" si="4"/>
        <v>1</v>
      </c>
      <c r="G146" s="77">
        <f t="shared" si="5"/>
        <v>2016</v>
      </c>
      <c r="H146" s="77">
        <f>SUM(Interesse_digital[[#This Row],[hotel ''ro'']],Interesse_digital[[#This Row],[pousada ''ro'']])</f>
        <v>25</v>
      </c>
      <c r="I146" s="77">
        <f>SUM(Interesse_digital[[#This Row],[hotel ''cf'']],Interesse_digital[[#This Row],[pousada ''cf'']])</f>
        <v>123</v>
      </c>
    </row>
    <row r="147" spans="1:9">
      <c r="A147" s="106">
        <v>42401</v>
      </c>
      <c r="B147" s="77">
        <v>5</v>
      </c>
      <c r="C147" s="77">
        <v>32</v>
      </c>
      <c r="D147" s="77">
        <v>9</v>
      </c>
      <c r="E147" s="77">
        <v>41</v>
      </c>
      <c r="F147" s="77">
        <f t="shared" si="4"/>
        <v>2</v>
      </c>
      <c r="G147" s="77">
        <f t="shared" si="5"/>
        <v>2016</v>
      </c>
      <c r="H147" s="77">
        <f>SUM(Interesse_digital[[#This Row],[hotel ''ro'']],Interesse_digital[[#This Row],[pousada ''ro'']])</f>
        <v>14</v>
      </c>
      <c r="I147" s="77">
        <f>SUM(Interesse_digital[[#This Row],[hotel ''cf'']],Interesse_digital[[#This Row],[pousada ''cf'']])</f>
        <v>73</v>
      </c>
    </row>
    <row r="148" spans="1:9">
      <c r="A148" s="106">
        <v>42430</v>
      </c>
      <c r="B148" s="77">
        <v>3</v>
      </c>
      <c r="C148" s="77">
        <v>22</v>
      </c>
      <c r="D148" s="77">
        <v>8</v>
      </c>
      <c r="E148" s="77">
        <v>29</v>
      </c>
      <c r="F148" s="77">
        <f t="shared" si="4"/>
        <v>3</v>
      </c>
      <c r="G148" s="77">
        <f t="shared" si="5"/>
        <v>2016</v>
      </c>
      <c r="H148" s="77">
        <f>SUM(Interesse_digital[[#This Row],[hotel ''ro'']],Interesse_digital[[#This Row],[pousada ''ro'']])</f>
        <v>11</v>
      </c>
      <c r="I148" s="77">
        <f>SUM(Interesse_digital[[#This Row],[hotel ''cf'']],Interesse_digital[[#This Row],[pousada ''cf'']])</f>
        <v>51</v>
      </c>
    </row>
    <row r="149" spans="1:9">
      <c r="A149" s="106">
        <v>42461</v>
      </c>
      <c r="B149" s="77">
        <v>3</v>
      </c>
      <c r="C149" s="77">
        <v>26</v>
      </c>
      <c r="D149" s="77">
        <v>8</v>
      </c>
      <c r="E149" s="77">
        <v>30</v>
      </c>
      <c r="F149" s="77">
        <f t="shared" si="4"/>
        <v>4</v>
      </c>
      <c r="G149" s="77">
        <f t="shared" si="5"/>
        <v>2016</v>
      </c>
      <c r="H149" s="77">
        <f>SUM(Interesse_digital[[#This Row],[hotel ''ro'']],Interesse_digital[[#This Row],[pousada ''ro'']])</f>
        <v>11</v>
      </c>
      <c r="I149" s="77">
        <f>SUM(Interesse_digital[[#This Row],[hotel ''cf'']],Interesse_digital[[#This Row],[pousada ''cf'']])</f>
        <v>56</v>
      </c>
    </row>
    <row r="150" spans="1:9">
      <c r="A150" s="106">
        <v>42491</v>
      </c>
      <c r="B150" s="77">
        <v>3</v>
      </c>
      <c r="C150" s="77">
        <v>15</v>
      </c>
      <c r="D150" s="77">
        <v>4</v>
      </c>
      <c r="E150" s="77">
        <v>16</v>
      </c>
      <c r="F150" s="77">
        <f t="shared" si="4"/>
        <v>5</v>
      </c>
      <c r="G150" s="77">
        <f t="shared" si="5"/>
        <v>2016</v>
      </c>
      <c r="H150" s="77">
        <f>SUM(Interesse_digital[[#This Row],[hotel ''ro'']],Interesse_digital[[#This Row],[pousada ''ro'']])</f>
        <v>7</v>
      </c>
      <c r="I150" s="77">
        <f>SUM(Interesse_digital[[#This Row],[hotel ''cf'']],Interesse_digital[[#This Row],[pousada ''cf'']])</f>
        <v>31</v>
      </c>
    </row>
    <row r="151" spans="1:9">
      <c r="A151" s="106">
        <v>42522</v>
      </c>
      <c r="B151" s="77">
        <v>2</v>
      </c>
      <c r="C151" s="77">
        <v>14</v>
      </c>
      <c r="D151" s="77">
        <v>4</v>
      </c>
      <c r="E151" s="77">
        <v>14</v>
      </c>
      <c r="F151" s="77">
        <f t="shared" si="4"/>
        <v>6</v>
      </c>
      <c r="G151" s="77">
        <f t="shared" si="5"/>
        <v>2016</v>
      </c>
      <c r="H151" s="77">
        <f>SUM(Interesse_digital[[#This Row],[hotel ''ro'']],Interesse_digital[[#This Row],[pousada ''ro'']])</f>
        <v>6</v>
      </c>
      <c r="I151" s="77">
        <f>SUM(Interesse_digital[[#This Row],[hotel ''cf'']],Interesse_digital[[#This Row],[pousada ''cf'']])</f>
        <v>28</v>
      </c>
    </row>
    <row r="152" spans="1:9">
      <c r="A152" s="106">
        <v>42552</v>
      </c>
      <c r="B152" s="77">
        <v>3</v>
      </c>
      <c r="C152" s="77">
        <v>20</v>
      </c>
      <c r="D152" s="77">
        <v>6</v>
      </c>
      <c r="E152" s="77">
        <v>23</v>
      </c>
      <c r="F152" s="77">
        <f t="shared" si="4"/>
        <v>7</v>
      </c>
      <c r="G152" s="77">
        <f t="shared" si="5"/>
        <v>2016</v>
      </c>
      <c r="H152" s="77">
        <f>SUM(Interesse_digital[[#This Row],[hotel ''ro'']],Interesse_digital[[#This Row],[pousada ''ro'']])</f>
        <v>9</v>
      </c>
      <c r="I152" s="77">
        <f>SUM(Interesse_digital[[#This Row],[hotel ''cf'']],Interesse_digital[[#This Row],[pousada ''cf'']])</f>
        <v>43</v>
      </c>
    </row>
    <row r="153" spans="1:9">
      <c r="A153" s="106">
        <v>42583</v>
      </c>
      <c r="B153" s="77">
        <v>3</v>
      </c>
      <c r="C153" s="77">
        <v>23</v>
      </c>
      <c r="D153" s="77">
        <v>7</v>
      </c>
      <c r="E153" s="77">
        <v>29</v>
      </c>
      <c r="F153" s="77">
        <f t="shared" si="4"/>
        <v>8</v>
      </c>
      <c r="G153" s="77">
        <f t="shared" si="5"/>
        <v>2016</v>
      </c>
      <c r="H153" s="77">
        <f>SUM(Interesse_digital[[#This Row],[hotel ''ro'']],Interesse_digital[[#This Row],[pousada ''ro'']])</f>
        <v>10</v>
      </c>
      <c r="I153" s="77">
        <f>SUM(Interesse_digital[[#This Row],[hotel ''cf'']],Interesse_digital[[#This Row],[pousada ''cf'']])</f>
        <v>52</v>
      </c>
    </row>
    <row r="154" spans="1:9">
      <c r="A154" s="106">
        <v>42614</v>
      </c>
      <c r="B154" s="77">
        <v>4</v>
      </c>
      <c r="C154" s="77">
        <v>32</v>
      </c>
      <c r="D154" s="77">
        <v>7</v>
      </c>
      <c r="E154" s="77">
        <v>46</v>
      </c>
      <c r="F154" s="77">
        <f t="shared" si="4"/>
        <v>9</v>
      </c>
      <c r="G154" s="77">
        <f t="shared" si="5"/>
        <v>2016</v>
      </c>
      <c r="H154" s="77">
        <f>SUM(Interesse_digital[[#This Row],[hotel ''ro'']],Interesse_digital[[#This Row],[pousada ''ro'']])</f>
        <v>11</v>
      </c>
      <c r="I154" s="77">
        <f>SUM(Interesse_digital[[#This Row],[hotel ''cf'']],Interesse_digital[[#This Row],[pousada ''cf'']])</f>
        <v>78</v>
      </c>
    </row>
    <row r="155" spans="1:9">
      <c r="A155" s="106">
        <v>42644</v>
      </c>
      <c r="B155" s="77">
        <v>4</v>
      </c>
      <c r="C155" s="77">
        <v>37</v>
      </c>
      <c r="D155" s="77">
        <v>9</v>
      </c>
      <c r="E155" s="77">
        <v>47</v>
      </c>
      <c r="F155" s="77">
        <f t="shared" si="4"/>
        <v>10</v>
      </c>
      <c r="G155" s="77">
        <f t="shared" si="5"/>
        <v>2016</v>
      </c>
      <c r="H155" s="77">
        <f>SUM(Interesse_digital[[#This Row],[hotel ''ro'']],Interesse_digital[[#This Row],[pousada ''ro'']])</f>
        <v>13</v>
      </c>
      <c r="I155" s="77">
        <f>SUM(Interesse_digital[[#This Row],[hotel ''cf'']],Interesse_digital[[#This Row],[pousada ''cf'']])</f>
        <v>84</v>
      </c>
    </row>
    <row r="156" spans="1:9">
      <c r="A156" s="106">
        <v>42675</v>
      </c>
      <c r="B156" s="77">
        <v>4</v>
      </c>
      <c r="C156" s="77">
        <v>36</v>
      </c>
      <c r="D156" s="77">
        <v>10</v>
      </c>
      <c r="E156" s="77">
        <v>41</v>
      </c>
      <c r="F156" s="77">
        <f t="shared" si="4"/>
        <v>11</v>
      </c>
      <c r="G156" s="77">
        <f t="shared" si="5"/>
        <v>2016</v>
      </c>
      <c r="H156" s="77">
        <f>SUM(Interesse_digital[[#This Row],[hotel ''ro'']],Interesse_digital[[#This Row],[pousada ''ro'']])</f>
        <v>14</v>
      </c>
      <c r="I156" s="77">
        <f>SUM(Interesse_digital[[#This Row],[hotel ''cf'']],Interesse_digital[[#This Row],[pousada ''cf'']])</f>
        <v>77</v>
      </c>
    </row>
    <row r="157" spans="1:9">
      <c r="A157" s="106">
        <v>42705</v>
      </c>
      <c r="B157" s="77">
        <v>5</v>
      </c>
      <c r="C157" s="77">
        <v>46</v>
      </c>
      <c r="D157" s="77">
        <v>12</v>
      </c>
      <c r="E157" s="77">
        <v>58</v>
      </c>
      <c r="F157" s="77">
        <f t="shared" si="4"/>
        <v>12</v>
      </c>
      <c r="G157" s="77">
        <f t="shared" si="5"/>
        <v>2016</v>
      </c>
      <c r="H157" s="77">
        <f>SUM(Interesse_digital[[#This Row],[hotel ''ro'']],Interesse_digital[[#This Row],[pousada ''ro'']])</f>
        <v>17</v>
      </c>
      <c r="I157" s="77">
        <f>SUM(Interesse_digital[[#This Row],[hotel ''cf'']],Interesse_digital[[#This Row],[pousada ''cf'']])</f>
        <v>104</v>
      </c>
    </row>
    <row r="158" spans="1:9">
      <c r="A158" s="106">
        <v>42736</v>
      </c>
      <c r="B158" s="77">
        <v>6</v>
      </c>
      <c r="C158" s="77">
        <v>68</v>
      </c>
      <c r="D158" s="77">
        <v>17</v>
      </c>
      <c r="E158" s="77">
        <v>88</v>
      </c>
      <c r="F158" s="77">
        <f t="shared" si="4"/>
        <v>1</v>
      </c>
      <c r="G158" s="77">
        <f t="shared" si="5"/>
        <v>2017</v>
      </c>
      <c r="H158" s="77">
        <f>SUM(Interesse_digital[[#This Row],[hotel ''ro'']],Interesse_digital[[#This Row],[pousada ''ro'']])</f>
        <v>23</v>
      </c>
      <c r="I158" s="77">
        <f>SUM(Interesse_digital[[#This Row],[hotel ''cf'']],Interesse_digital[[#This Row],[pousada ''cf'']])</f>
        <v>156</v>
      </c>
    </row>
    <row r="159" spans="1:9">
      <c r="A159" s="106">
        <v>42767</v>
      </c>
      <c r="B159" s="77">
        <v>3</v>
      </c>
      <c r="C159" s="77">
        <v>35</v>
      </c>
      <c r="D159" s="77">
        <v>9</v>
      </c>
      <c r="E159" s="77">
        <v>45</v>
      </c>
      <c r="F159" s="77">
        <f t="shared" si="4"/>
        <v>2</v>
      </c>
      <c r="G159" s="77">
        <f t="shared" si="5"/>
        <v>2017</v>
      </c>
      <c r="H159" s="77">
        <f>SUM(Interesse_digital[[#This Row],[hotel ''ro'']],Interesse_digital[[#This Row],[pousada ''ro'']])</f>
        <v>12</v>
      </c>
      <c r="I159" s="77">
        <f>SUM(Interesse_digital[[#This Row],[hotel ''cf'']],Interesse_digital[[#This Row],[pousada ''cf'']])</f>
        <v>80</v>
      </c>
    </row>
    <row r="160" spans="1:9">
      <c r="A160" s="106">
        <v>42795</v>
      </c>
      <c r="B160" s="77">
        <v>3</v>
      </c>
      <c r="C160" s="77">
        <v>33</v>
      </c>
      <c r="D160" s="77">
        <v>8</v>
      </c>
      <c r="E160" s="77">
        <v>38</v>
      </c>
      <c r="F160" s="77">
        <f t="shared" si="4"/>
        <v>3</v>
      </c>
      <c r="G160" s="77">
        <f t="shared" si="5"/>
        <v>2017</v>
      </c>
      <c r="H160" s="77">
        <f>SUM(Interesse_digital[[#This Row],[hotel ''ro'']],Interesse_digital[[#This Row],[pousada ''ro'']])</f>
        <v>11</v>
      </c>
      <c r="I160" s="77">
        <f>SUM(Interesse_digital[[#This Row],[hotel ''cf'']],Interesse_digital[[#This Row],[pousada ''cf'']])</f>
        <v>71</v>
      </c>
    </row>
    <row r="161" spans="1:9">
      <c r="A161" s="106">
        <v>42826</v>
      </c>
      <c r="B161" s="77">
        <v>1</v>
      </c>
      <c r="C161" s="77">
        <v>19</v>
      </c>
      <c r="D161" s="77">
        <v>5</v>
      </c>
      <c r="E161" s="77">
        <v>23</v>
      </c>
      <c r="F161" s="77">
        <f t="shared" si="4"/>
        <v>4</v>
      </c>
      <c r="G161" s="77">
        <f t="shared" si="5"/>
        <v>2017</v>
      </c>
      <c r="H161" s="77">
        <f>SUM(Interesse_digital[[#This Row],[hotel ''ro'']],Interesse_digital[[#This Row],[pousada ''ro'']])</f>
        <v>6</v>
      </c>
      <c r="I161" s="77">
        <f>SUM(Interesse_digital[[#This Row],[hotel ''cf'']],Interesse_digital[[#This Row],[pousada ''cf'']])</f>
        <v>42</v>
      </c>
    </row>
    <row r="162" spans="1:9">
      <c r="A162" s="106">
        <v>42856</v>
      </c>
      <c r="B162" s="77">
        <v>2</v>
      </c>
      <c r="C162" s="77">
        <v>16</v>
      </c>
      <c r="D162" s="77">
        <v>4</v>
      </c>
      <c r="E162" s="77">
        <v>16</v>
      </c>
      <c r="F162" s="77">
        <f t="shared" si="4"/>
        <v>5</v>
      </c>
      <c r="G162" s="77">
        <f t="shared" si="5"/>
        <v>2017</v>
      </c>
      <c r="H162" s="77">
        <f>SUM(Interesse_digital[[#This Row],[hotel ''ro'']],Interesse_digital[[#This Row],[pousada ''ro'']])</f>
        <v>6</v>
      </c>
      <c r="I162" s="77">
        <f>SUM(Interesse_digital[[#This Row],[hotel ''cf'']],Interesse_digital[[#This Row],[pousada ''cf'']])</f>
        <v>32</v>
      </c>
    </row>
    <row r="163" spans="1:9">
      <c r="A163" s="106">
        <v>42887</v>
      </c>
      <c r="B163" s="77">
        <v>2</v>
      </c>
      <c r="C163" s="77">
        <v>16</v>
      </c>
      <c r="D163" s="77">
        <v>5</v>
      </c>
      <c r="E163" s="77">
        <v>19</v>
      </c>
      <c r="F163" s="77">
        <f t="shared" si="4"/>
        <v>6</v>
      </c>
      <c r="G163" s="77">
        <f t="shared" si="5"/>
        <v>2017</v>
      </c>
      <c r="H163" s="77">
        <f>SUM(Interesse_digital[[#This Row],[hotel ''ro'']],Interesse_digital[[#This Row],[pousada ''ro'']])</f>
        <v>7</v>
      </c>
      <c r="I163" s="77">
        <f>SUM(Interesse_digital[[#This Row],[hotel ''cf'']],Interesse_digital[[#This Row],[pousada ''cf'']])</f>
        <v>35</v>
      </c>
    </row>
    <row r="164" spans="1:9">
      <c r="A164" s="106">
        <v>42917</v>
      </c>
      <c r="B164" s="77">
        <v>2</v>
      </c>
      <c r="C164" s="77">
        <v>21</v>
      </c>
      <c r="D164" s="77">
        <v>5</v>
      </c>
      <c r="E164" s="77">
        <v>25</v>
      </c>
      <c r="F164" s="77">
        <f t="shared" si="4"/>
        <v>7</v>
      </c>
      <c r="G164" s="77">
        <f t="shared" si="5"/>
        <v>2017</v>
      </c>
      <c r="H164" s="77">
        <f>SUM(Interesse_digital[[#This Row],[hotel ''ro'']],Interesse_digital[[#This Row],[pousada ''ro'']])</f>
        <v>7</v>
      </c>
      <c r="I164" s="77">
        <f>SUM(Interesse_digital[[#This Row],[hotel ''cf'']],Interesse_digital[[#This Row],[pousada ''cf'']])</f>
        <v>46</v>
      </c>
    </row>
    <row r="165" spans="1:9">
      <c r="A165" s="106">
        <v>42948</v>
      </c>
      <c r="B165" s="77">
        <v>2</v>
      </c>
      <c r="C165" s="77">
        <v>27</v>
      </c>
      <c r="D165" s="77">
        <v>6</v>
      </c>
      <c r="E165" s="77">
        <v>27</v>
      </c>
      <c r="F165" s="77">
        <f t="shared" si="4"/>
        <v>8</v>
      </c>
      <c r="G165" s="77">
        <f t="shared" si="5"/>
        <v>2017</v>
      </c>
      <c r="H165" s="77">
        <f>SUM(Interesse_digital[[#This Row],[hotel ''ro'']],Interesse_digital[[#This Row],[pousada ''ro'']])</f>
        <v>8</v>
      </c>
      <c r="I165" s="77">
        <f>SUM(Interesse_digital[[#This Row],[hotel ''cf'']],Interesse_digital[[#This Row],[pousada ''cf'']])</f>
        <v>54</v>
      </c>
    </row>
    <row r="166" spans="1:9">
      <c r="A166" s="106">
        <v>42979</v>
      </c>
      <c r="B166" s="77">
        <v>3</v>
      </c>
      <c r="C166" s="77">
        <v>36</v>
      </c>
      <c r="D166" s="77">
        <v>8</v>
      </c>
      <c r="E166" s="77">
        <v>41</v>
      </c>
      <c r="F166" s="77">
        <f t="shared" si="4"/>
        <v>9</v>
      </c>
      <c r="G166" s="77">
        <f t="shared" si="5"/>
        <v>2017</v>
      </c>
      <c r="H166" s="77">
        <f>SUM(Interesse_digital[[#This Row],[hotel ''ro'']],Interesse_digital[[#This Row],[pousada ''ro'']])</f>
        <v>11</v>
      </c>
      <c r="I166" s="77">
        <f>SUM(Interesse_digital[[#This Row],[hotel ''cf'']],Interesse_digital[[#This Row],[pousada ''cf'']])</f>
        <v>77</v>
      </c>
    </row>
    <row r="167" spans="1:9">
      <c r="A167" s="106">
        <v>43009</v>
      </c>
      <c r="B167" s="77">
        <v>3</v>
      </c>
      <c r="C167" s="77">
        <v>43</v>
      </c>
      <c r="D167" s="77">
        <v>9</v>
      </c>
      <c r="E167" s="77">
        <v>48</v>
      </c>
      <c r="F167" s="77">
        <f t="shared" si="4"/>
        <v>10</v>
      </c>
      <c r="G167" s="77">
        <f t="shared" si="5"/>
        <v>2017</v>
      </c>
      <c r="H167" s="77">
        <f>SUM(Interesse_digital[[#This Row],[hotel ''ro'']],Interesse_digital[[#This Row],[pousada ''ro'']])</f>
        <v>12</v>
      </c>
      <c r="I167" s="77">
        <f>SUM(Interesse_digital[[#This Row],[hotel ''cf'']],Interesse_digital[[#This Row],[pousada ''cf'']])</f>
        <v>91</v>
      </c>
    </row>
    <row r="168" spans="1:9">
      <c r="A168" s="106">
        <v>43040</v>
      </c>
      <c r="B168" s="77">
        <v>3</v>
      </c>
      <c r="C168" s="77">
        <v>37</v>
      </c>
      <c r="D168" s="77">
        <v>9</v>
      </c>
      <c r="E168" s="77">
        <v>45</v>
      </c>
      <c r="F168" s="77">
        <f t="shared" si="4"/>
        <v>11</v>
      </c>
      <c r="G168" s="77">
        <f t="shared" si="5"/>
        <v>2017</v>
      </c>
      <c r="H168" s="77">
        <f>SUM(Interesse_digital[[#This Row],[hotel ''ro'']],Interesse_digital[[#This Row],[pousada ''ro'']])</f>
        <v>12</v>
      </c>
      <c r="I168" s="77">
        <f>SUM(Interesse_digital[[#This Row],[hotel ''cf'']],Interesse_digital[[#This Row],[pousada ''cf'']])</f>
        <v>82</v>
      </c>
    </row>
    <row r="169" spans="1:9">
      <c r="A169" s="106">
        <v>43070</v>
      </c>
      <c r="B169" s="77">
        <v>4</v>
      </c>
      <c r="C169" s="77">
        <v>45</v>
      </c>
      <c r="D169" s="77">
        <v>11</v>
      </c>
      <c r="E169" s="77">
        <v>58</v>
      </c>
      <c r="F169" s="77">
        <f t="shared" si="4"/>
        <v>12</v>
      </c>
      <c r="G169" s="77">
        <f t="shared" si="5"/>
        <v>2017</v>
      </c>
      <c r="H169" s="77">
        <f>SUM(Interesse_digital[[#This Row],[hotel ''ro'']],Interesse_digital[[#This Row],[pousada ''ro'']])</f>
        <v>15</v>
      </c>
      <c r="I169" s="77">
        <f>SUM(Interesse_digital[[#This Row],[hotel ''cf'']],Interesse_digital[[#This Row],[pousada ''cf'']])</f>
        <v>103</v>
      </c>
    </row>
    <row r="170" spans="1:9">
      <c r="A170" s="106">
        <v>43101</v>
      </c>
      <c r="B170" s="77">
        <v>7</v>
      </c>
      <c r="C170" s="77">
        <v>67</v>
      </c>
      <c r="D170" s="77">
        <v>18</v>
      </c>
      <c r="E170" s="77">
        <v>80</v>
      </c>
      <c r="F170" s="77">
        <f t="shared" si="4"/>
        <v>1</v>
      </c>
      <c r="G170" s="77">
        <f t="shared" si="5"/>
        <v>2018</v>
      </c>
      <c r="H170" s="77">
        <f>SUM(Interesse_digital[[#This Row],[hotel ''ro'']],Interesse_digital[[#This Row],[pousada ''ro'']])</f>
        <v>25</v>
      </c>
      <c r="I170" s="77">
        <f>SUM(Interesse_digital[[#This Row],[hotel ''cf'']],Interesse_digital[[#This Row],[pousada ''cf'']])</f>
        <v>147</v>
      </c>
    </row>
    <row r="171" spans="1:9">
      <c r="A171" s="106">
        <v>43132</v>
      </c>
      <c r="B171" s="77">
        <v>4</v>
      </c>
      <c r="C171" s="77">
        <v>35</v>
      </c>
      <c r="D171" s="77">
        <v>8</v>
      </c>
      <c r="E171" s="77">
        <v>41</v>
      </c>
      <c r="F171" s="77">
        <f t="shared" si="4"/>
        <v>2</v>
      </c>
      <c r="G171" s="77">
        <f t="shared" si="5"/>
        <v>2018</v>
      </c>
      <c r="H171" s="77">
        <f>SUM(Interesse_digital[[#This Row],[hotel ''ro'']],Interesse_digital[[#This Row],[pousada ''ro'']])</f>
        <v>12</v>
      </c>
      <c r="I171" s="77">
        <f>SUM(Interesse_digital[[#This Row],[hotel ''cf'']],Interesse_digital[[#This Row],[pousada ''cf'']])</f>
        <v>76</v>
      </c>
    </row>
    <row r="172" spans="1:9">
      <c r="A172" s="106">
        <v>43160</v>
      </c>
      <c r="B172" s="77">
        <v>4</v>
      </c>
      <c r="C172" s="77">
        <v>31</v>
      </c>
      <c r="D172" s="77">
        <v>8</v>
      </c>
      <c r="E172" s="77">
        <v>36</v>
      </c>
      <c r="F172" s="77">
        <f t="shared" si="4"/>
        <v>3</v>
      </c>
      <c r="G172" s="77">
        <f t="shared" si="5"/>
        <v>2018</v>
      </c>
      <c r="H172" s="77">
        <f>SUM(Interesse_digital[[#This Row],[hotel ''ro'']],Interesse_digital[[#This Row],[pousada ''ro'']])</f>
        <v>12</v>
      </c>
      <c r="I172" s="77">
        <f>SUM(Interesse_digital[[#This Row],[hotel ''cf'']],Interesse_digital[[#This Row],[pousada ''cf'']])</f>
        <v>67</v>
      </c>
    </row>
    <row r="173" spans="1:9">
      <c r="A173" s="106">
        <v>43191</v>
      </c>
      <c r="B173" s="77">
        <v>3</v>
      </c>
      <c r="C173" s="77">
        <v>26</v>
      </c>
      <c r="D173" s="77">
        <v>6</v>
      </c>
      <c r="E173" s="77">
        <v>28</v>
      </c>
      <c r="F173" s="77">
        <f t="shared" si="4"/>
        <v>4</v>
      </c>
      <c r="G173" s="77">
        <f t="shared" si="5"/>
        <v>2018</v>
      </c>
      <c r="H173" s="77">
        <f>SUM(Interesse_digital[[#This Row],[hotel ''ro'']],Interesse_digital[[#This Row],[pousada ''ro'']])</f>
        <v>9</v>
      </c>
      <c r="I173" s="77">
        <f>SUM(Interesse_digital[[#This Row],[hotel ''cf'']],Interesse_digital[[#This Row],[pousada ''cf'']])</f>
        <v>54</v>
      </c>
    </row>
    <row r="174" spans="1:9">
      <c r="A174" s="106">
        <v>43221</v>
      </c>
      <c r="B174" s="77">
        <v>2</v>
      </c>
      <c r="C174" s="77">
        <v>16</v>
      </c>
      <c r="D174" s="77">
        <v>5</v>
      </c>
      <c r="E174" s="77">
        <v>17</v>
      </c>
      <c r="F174" s="77">
        <f t="shared" si="4"/>
        <v>5</v>
      </c>
      <c r="G174" s="77">
        <f t="shared" si="5"/>
        <v>2018</v>
      </c>
      <c r="H174" s="77">
        <f>SUM(Interesse_digital[[#This Row],[hotel ''ro'']],Interesse_digital[[#This Row],[pousada ''ro'']])</f>
        <v>7</v>
      </c>
      <c r="I174" s="77">
        <f>SUM(Interesse_digital[[#This Row],[hotel ''cf'']],Interesse_digital[[#This Row],[pousada ''cf'']])</f>
        <v>33</v>
      </c>
    </row>
    <row r="175" spans="1:9">
      <c r="A175" s="106">
        <v>43252</v>
      </c>
      <c r="B175" s="77">
        <v>3</v>
      </c>
      <c r="C175" s="77">
        <v>16</v>
      </c>
      <c r="D175" s="77">
        <v>5</v>
      </c>
      <c r="E175" s="77">
        <v>16</v>
      </c>
      <c r="F175" s="77">
        <f t="shared" si="4"/>
        <v>6</v>
      </c>
      <c r="G175" s="77">
        <f t="shared" si="5"/>
        <v>2018</v>
      </c>
      <c r="H175" s="77">
        <f>SUM(Interesse_digital[[#This Row],[hotel ''ro'']],Interesse_digital[[#This Row],[pousada ''ro'']])</f>
        <v>8</v>
      </c>
      <c r="I175" s="77">
        <f>SUM(Interesse_digital[[#This Row],[hotel ''cf'']],Interesse_digital[[#This Row],[pousada ''cf'']])</f>
        <v>32</v>
      </c>
    </row>
    <row r="176" spans="1:9">
      <c r="A176" s="106">
        <v>43282</v>
      </c>
      <c r="B176" s="77">
        <v>4</v>
      </c>
      <c r="C176" s="77">
        <v>28</v>
      </c>
      <c r="D176" s="77">
        <v>8</v>
      </c>
      <c r="E176" s="77">
        <v>30</v>
      </c>
      <c r="F176" s="77">
        <f t="shared" si="4"/>
        <v>7</v>
      </c>
      <c r="G176" s="77">
        <f t="shared" si="5"/>
        <v>2018</v>
      </c>
      <c r="H176" s="77">
        <f>SUM(Interesse_digital[[#This Row],[hotel ''ro'']],Interesse_digital[[#This Row],[pousada ''ro'']])</f>
        <v>12</v>
      </c>
      <c r="I176" s="77">
        <f>SUM(Interesse_digital[[#This Row],[hotel ''cf'']],Interesse_digital[[#This Row],[pousada ''cf'']])</f>
        <v>58</v>
      </c>
    </row>
    <row r="177" spans="1:9">
      <c r="A177" s="106">
        <v>43313</v>
      </c>
      <c r="B177" s="77">
        <v>3</v>
      </c>
      <c r="C177" s="77">
        <v>26</v>
      </c>
      <c r="D177" s="77">
        <v>6</v>
      </c>
      <c r="E177" s="77">
        <v>27</v>
      </c>
      <c r="F177" s="77">
        <f t="shared" si="4"/>
        <v>8</v>
      </c>
      <c r="G177" s="77">
        <f t="shared" si="5"/>
        <v>2018</v>
      </c>
      <c r="H177" s="77">
        <f>SUM(Interesse_digital[[#This Row],[hotel ''ro'']],Interesse_digital[[#This Row],[pousada ''ro'']])</f>
        <v>9</v>
      </c>
      <c r="I177" s="77">
        <f>SUM(Interesse_digital[[#This Row],[hotel ''cf'']],Interesse_digital[[#This Row],[pousada ''cf'']])</f>
        <v>53</v>
      </c>
    </row>
    <row r="178" spans="1:9">
      <c r="A178" s="106">
        <v>43344</v>
      </c>
      <c r="B178" s="77">
        <v>3</v>
      </c>
      <c r="C178" s="77">
        <v>34</v>
      </c>
      <c r="D178" s="77">
        <v>8</v>
      </c>
      <c r="E178" s="77">
        <v>38</v>
      </c>
      <c r="F178" s="77">
        <f t="shared" si="4"/>
        <v>9</v>
      </c>
      <c r="G178" s="77">
        <f t="shared" si="5"/>
        <v>2018</v>
      </c>
      <c r="H178" s="77">
        <f>SUM(Interesse_digital[[#This Row],[hotel ''ro'']],Interesse_digital[[#This Row],[pousada ''ro'']])</f>
        <v>11</v>
      </c>
      <c r="I178" s="77">
        <f>SUM(Interesse_digital[[#This Row],[hotel ''cf'']],Interesse_digital[[#This Row],[pousada ''cf'']])</f>
        <v>72</v>
      </c>
    </row>
    <row r="179" spans="1:9">
      <c r="A179" s="106">
        <v>43374</v>
      </c>
      <c r="B179" s="77">
        <v>3</v>
      </c>
      <c r="C179" s="77">
        <v>35</v>
      </c>
      <c r="D179" s="77">
        <v>9</v>
      </c>
      <c r="E179" s="77">
        <v>40</v>
      </c>
      <c r="F179" s="77">
        <f t="shared" si="4"/>
        <v>10</v>
      </c>
      <c r="G179" s="77">
        <f t="shared" si="5"/>
        <v>2018</v>
      </c>
      <c r="H179" s="77">
        <f>SUM(Interesse_digital[[#This Row],[hotel ''ro'']],Interesse_digital[[#This Row],[pousada ''ro'']])</f>
        <v>12</v>
      </c>
      <c r="I179" s="77">
        <f>SUM(Interesse_digital[[#This Row],[hotel ''cf'']],Interesse_digital[[#This Row],[pousada ''cf'']])</f>
        <v>75</v>
      </c>
    </row>
    <row r="180" spans="1:9">
      <c r="A180" s="106">
        <v>43405</v>
      </c>
      <c r="B180" s="77">
        <v>3</v>
      </c>
      <c r="C180" s="77">
        <v>40</v>
      </c>
      <c r="D180" s="77">
        <v>10</v>
      </c>
      <c r="E180" s="77">
        <v>48</v>
      </c>
      <c r="F180" s="77">
        <f t="shared" si="4"/>
        <v>11</v>
      </c>
      <c r="G180" s="77">
        <f t="shared" si="5"/>
        <v>2018</v>
      </c>
      <c r="H180" s="77">
        <f>SUM(Interesse_digital[[#This Row],[hotel ''ro'']],Interesse_digital[[#This Row],[pousada ''ro'']])</f>
        <v>13</v>
      </c>
      <c r="I180" s="77">
        <f>SUM(Interesse_digital[[#This Row],[hotel ''cf'']],Interesse_digital[[#This Row],[pousada ''cf'']])</f>
        <v>88</v>
      </c>
    </row>
    <row r="181" spans="1:9">
      <c r="A181" s="106">
        <v>43435</v>
      </c>
      <c r="B181" s="77">
        <v>5</v>
      </c>
      <c r="C181" s="77">
        <v>46</v>
      </c>
      <c r="D181" s="77">
        <v>13</v>
      </c>
      <c r="E181" s="77">
        <v>57</v>
      </c>
      <c r="F181" s="77">
        <f t="shared" si="4"/>
        <v>12</v>
      </c>
      <c r="G181" s="77">
        <f t="shared" si="5"/>
        <v>2018</v>
      </c>
      <c r="H181" s="77">
        <f>SUM(Interesse_digital[[#This Row],[hotel ''ro'']],Interesse_digital[[#This Row],[pousada ''ro'']])</f>
        <v>18</v>
      </c>
      <c r="I181" s="77">
        <f>SUM(Interesse_digital[[#This Row],[hotel ''cf'']],Interesse_digital[[#This Row],[pousada ''cf'']])</f>
        <v>103</v>
      </c>
    </row>
    <row r="182" spans="1:9">
      <c r="A182" s="106">
        <v>43466</v>
      </c>
      <c r="B182" s="77">
        <v>7</v>
      </c>
      <c r="C182" s="77">
        <v>60</v>
      </c>
      <c r="D182" s="77">
        <v>20</v>
      </c>
      <c r="E182" s="77">
        <v>79</v>
      </c>
      <c r="F182" s="77">
        <f t="shared" si="4"/>
        <v>1</v>
      </c>
      <c r="G182" s="77">
        <f t="shared" si="5"/>
        <v>2019</v>
      </c>
      <c r="H182" s="77">
        <f>SUM(Interesse_digital[[#This Row],[hotel ''ro'']],Interesse_digital[[#This Row],[pousada ''ro'']])</f>
        <v>27</v>
      </c>
      <c r="I182" s="77">
        <f>SUM(Interesse_digital[[#This Row],[hotel ''cf'']],Interesse_digital[[#This Row],[pousada ''cf'']])</f>
        <v>139</v>
      </c>
    </row>
    <row r="183" spans="1:9">
      <c r="A183" s="106">
        <v>43497</v>
      </c>
      <c r="B183" s="77">
        <v>3</v>
      </c>
      <c r="C183" s="77">
        <v>28</v>
      </c>
      <c r="D183" s="77">
        <v>8</v>
      </c>
      <c r="E183" s="77">
        <v>34</v>
      </c>
      <c r="F183" s="77">
        <f t="shared" si="4"/>
        <v>2</v>
      </c>
      <c r="G183" s="77">
        <f t="shared" si="5"/>
        <v>2019</v>
      </c>
      <c r="H183" s="77">
        <f>SUM(Interesse_digital[[#This Row],[hotel ''ro'']],Interesse_digital[[#This Row],[pousada ''ro'']])</f>
        <v>11</v>
      </c>
      <c r="I183" s="77">
        <f>SUM(Interesse_digital[[#This Row],[hotel ''cf'']],Interesse_digital[[#This Row],[pousada ''cf'']])</f>
        <v>62</v>
      </c>
    </row>
    <row r="184" spans="1:9">
      <c r="A184" s="106">
        <v>43525</v>
      </c>
      <c r="B184" s="77">
        <v>3</v>
      </c>
      <c r="C184" s="77">
        <v>26</v>
      </c>
      <c r="D184" s="77">
        <v>9</v>
      </c>
      <c r="E184" s="77">
        <v>34</v>
      </c>
      <c r="F184" s="77">
        <f t="shared" si="4"/>
        <v>3</v>
      </c>
      <c r="G184" s="77">
        <f t="shared" si="5"/>
        <v>2019</v>
      </c>
      <c r="H184" s="77">
        <f>SUM(Interesse_digital[[#This Row],[hotel ''ro'']],Interesse_digital[[#This Row],[pousada ''ro'']])</f>
        <v>12</v>
      </c>
      <c r="I184" s="77">
        <f>SUM(Interesse_digital[[#This Row],[hotel ''cf'']],Interesse_digital[[#This Row],[pousada ''cf'']])</f>
        <v>60</v>
      </c>
    </row>
    <row r="185" spans="1:9">
      <c r="A185" s="106">
        <v>43556</v>
      </c>
      <c r="B185" s="77">
        <v>2</v>
      </c>
      <c r="C185" s="77">
        <v>21</v>
      </c>
      <c r="D185" s="77">
        <v>6</v>
      </c>
      <c r="E185" s="77">
        <v>24</v>
      </c>
      <c r="F185" s="77">
        <f t="shared" si="4"/>
        <v>4</v>
      </c>
      <c r="G185" s="77">
        <f t="shared" si="5"/>
        <v>2019</v>
      </c>
      <c r="H185" s="77">
        <f>SUM(Interesse_digital[[#This Row],[hotel ''ro'']],Interesse_digital[[#This Row],[pousada ''ro'']])</f>
        <v>8</v>
      </c>
      <c r="I185" s="77">
        <f>SUM(Interesse_digital[[#This Row],[hotel ''cf'']],Interesse_digital[[#This Row],[pousada ''cf'']])</f>
        <v>45</v>
      </c>
    </row>
    <row r="186" spans="1:9">
      <c r="A186" s="106">
        <v>43586</v>
      </c>
      <c r="B186" s="77">
        <v>2</v>
      </c>
      <c r="C186" s="77">
        <v>17</v>
      </c>
      <c r="D186" s="77">
        <v>5</v>
      </c>
      <c r="E186" s="77">
        <v>20</v>
      </c>
      <c r="F186" s="77">
        <f t="shared" si="4"/>
        <v>5</v>
      </c>
      <c r="G186" s="77">
        <f t="shared" si="5"/>
        <v>2019</v>
      </c>
      <c r="H186" s="77">
        <f>SUM(Interesse_digital[[#This Row],[hotel ''ro'']],Interesse_digital[[#This Row],[pousada ''ro'']])</f>
        <v>7</v>
      </c>
      <c r="I186" s="77">
        <f>SUM(Interesse_digital[[#This Row],[hotel ''cf'']],Interesse_digital[[#This Row],[pousada ''cf'']])</f>
        <v>37</v>
      </c>
    </row>
    <row r="187" spans="1:9">
      <c r="A187" s="106">
        <v>43617</v>
      </c>
      <c r="B187" s="77">
        <v>3</v>
      </c>
      <c r="C187" s="77">
        <v>19</v>
      </c>
      <c r="D187" s="77">
        <v>6</v>
      </c>
      <c r="E187" s="77">
        <v>18</v>
      </c>
      <c r="F187" s="77">
        <f t="shared" si="4"/>
        <v>6</v>
      </c>
      <c r="G187" s="77">
        <f t="shared" si="5"/>
        <v>2019</v>
      </c>
      <c r="H187" s="77">
        <f>SUM(Interesse_digital[[#This Row],[hotel ''ro'']],Interesse_digital[[#This Row],[pousada ''ro'']])</f>
        <v>9</v>
      </c>
      <c r="I187" s="77">
        <f>SUM(Interesse_digital[[#This Row],[hotel ''cf'']],Interesse_digital[[#This Row],[pousada ''cf'']])</f>
        <v>37</v>
      </c>
    </row>
    <row r="188" spans="1:9">
      <c r="A188" s="106">
        <v>43647</v>
      </c>
      <c r="B188" s="77">
        <v>3</v>
      </c>
      <c r="C188" s="77">
        <v>24</v>
      </c>
      <c r="D188" s="77">
        <v>6</v>
      </c>
      <c r="E188" s="77">
        <v>24</v>
      </c>
      <c r="F188" s="77">
        <f t="shared" si="4"/>
        <v>7</v>
      </c>
      <c r="G188" s="77">
        <f t="shared" si="5"/>
        <v>2019</v>
      </c>
      <c r="H188" s="77">
        <f>SUM(Interesse_digital[[#This Row],[hotel ''ro'']],Interesse_digital[[#This Row],[pousada ''ro'']])</f>
        <v>9</v>
      </c>
      <c r="I188" s="77">
        <f>SUM(Interesse_digital[[#This Row],[hotel ''cf'']],Interesse_digital[[#This Row],[pousada ''cf'']])</f>
        <v>48</v>
      </c>
    </row>
    <row r="189" spans="1:9">
      <c r="A189" s="106">
        <v>43678</v>
      </c>
      <c r="B189" s="77">
        <v>3</v>
      </c>
      <c r="C189" s="77">
        <v>23</v>
      </c>
      <c r="D189" s="77">
        <v>5</v>
      </c>
      <c r="E189" s="77">
        <v>24</v>
      </c>
      <c r="F189" s="77">
        <f t="shared" si="4"/>
        <v>8</v>
      </c>
      <c r="G189" s="77">
        <f t="shared" si="5"/>
        <v>2019</v>
      </c>
      <c r="H189" s="77">
        <f>SUM(Interesse_digital[[#This Row],[hotel ''ro'']],Interesse_digital[[#This Row],[pousada ''ro'']])</f>
        <v>8</v>
      </c>
      <c r="I189" s="77">
        <f>SUM(Interesse_digital[[#This Row],[hotel ''cf'']],Interesse_digital[[#This Row],[pousada ''cf'']])</f>
        <v>47</v>
      </c>
    </row>
    <row r="190" spans="1:9">
      <c r="A190" s="106">
        <v>43709</v>
      </c>
      <c r="B190" s="77">
        <v>4</v>
      </c>
      <c r="C190" s="77">
        <v>32</v>
      </c>
      <c r="D190" s="77">
        <v>8</v>
      </c>
      <c r="E190" s="77">
        <v>35</v>
      </c>
      <c r="F190" s="77">
        <f t="shared" si="4"/>
        <v>9</v>
      </c>
      <c r="G190" s="77">
        <f t="shared" si="5"/>
        <v>2019</v>
      </c>
      <c r="H190" s="77">
        <f>SUM(Interesse_digital[[#This Row],[hotel ''ro'']],Interesse_digital[[#This Row],[pousada ''ro'']])</f>
        <v>12</v>
      </c>
      <c r="I190" s="77">
        <f>SUM(Interesse_digital[[#This Row],[hotel ''cf'']],Interesse_digital[[#This Row],[pousada ''cf'']])</f>
        <v>67</v>
      </c>
    </row>
    <row r="191" spans="1:9">
      <c r="A191" s="106">
        <v>43739</v>
      </c>
      <c r="B191" s="77">
        <v>4</v>
      </c>
      <c r="C191" s="77">
        <v>43</v>
      </c>
      <c r="D191" s="77">
        <v>10</v>
      </c>
      <c r="E191" s="77">
        <v>49</v>
      </c>
      <c r="F191" s="77">
        <f t="shared" si="4"/>
        <v>10</v>
      </c>
      <c r="G191" s="77">
        <f t="shared" si="5"/>
        <v>2019</v>
      </c>
      <c r="H191" s="77">
        <f>SUM(Interesse_digital[[#This Row],[hotel ''ro'']],Interesse_digital[[#This Row],[pousada ''ro'']])</f>
        <v>14</v>
      </c>
      <c r="I191" s="77">
        <f>SUM(Interesse_digital[[#This Row],[hotel ''cf'']],Interesse_digital[[#This Row],[pousada ''cf'']])</f>
        <v>92</v>
      </c>
    </row>
    <row r="192" spans="1:9">
      <c r="A192" s="106">
        <v>43770</v>
      </c>
      <c r="B192" s="77">
        <v>4</v>
      </c>
      <c r="C192" s="77">
        <v>39</v>
      </c>
      <c r="D192" s="77">
        <v>10</v>
      </c>
      <c r="E192" s="77">
        <v>43</v>
      </c>
      <c r="F192" s="77">
        <f t="shared" si="4"/>
        <v>11</v>
      </c>
      <c r="G192" s="77">
        <f t="shared" si="5"/>
        <v>2019</v>
      </c>
      <c r="H192" s="77">
        <f>SUM(Interesse_digital[[#This Row],[hotel ''ro'']],Interesse_digital[[#This Row],[pousada ''ro'']])</f>
        <v>14</v>
      </c>
      <c r="I192" s="77">
        <f>SUM(Interesse_digital[[#This Row],[hotel ''cf'']],Interesse_digital[[#This Row],[pousada ''cf'']])</f>
        <v>82</v>
      </c>
    </row>
    <row r="193" spans="1:9">
      <c r="A193" s="106">
        <v>43800</v>
      </c>
      <c r="B193" s="77">
        <v>5</v>
      </c>
      <c r="C193" s="77">
        <v>47</v>
      </c>
      <c r="D193" s="77">
        <v>13</v>
      </c>
      <c r="E193" s="77">
        <v>50</v>
      </c>
      <c r="F193" s="77">
        <f t="shared" si="4"/>
        <v>12</v>
      </c>
      <c r="G193" s="77">
        <f t="shared" si="5"/>
        <v>2019</v>
      </c>
      <c r="H193" s="77">
        <f>SUM(Interesse_digital[[#This Row],[hotel ''ro'']],Interesse_digital[[#This Row],[pousada ''ro'']])</f>
        <v>18</v>
      </c>
      <c r="I193" s="77">
        <f>SUM(Interesse_digital[[#This Row],[hotel ''cf'']],Interesse_digital[[#This Row],[pousada ''cf'']])</f>
        <v>97</v>
      </c>
    </row>
    <row r="194" spans="1:9">
      <c r="A194" s="106">
        <v>43831</v>
      </c>
      <c r="B194" s="77">
        <v>7</v>
      </c>
      <c r="C194" s="77">
        <v>62</v>
      </c>
      <c r="D194" s="77">
        <v>19</v>
      </c>
      <c r="E194" s="77">
        <v>62</v>
      </c>
      <c r="F194" s="77">
        <f t="shared" ref="F194:F257" si="6">MONTH(A194)</f>
        <v>1</v>
      </c>
      <c r="G194" s="77">
        <f t="shared" ref="G194:G257" si="7">YEAR(A194)</f>
        <v>2020</v>
      </c>
      <c r="H194" s="77">
        <f>SUM(Interesse_digital[[#This Row],[hotel ''ro'']],Interesse_digital[[#This Row],[pousada ''ro'']])</f>
        <v>26</v>
      </c>
      <c r="I194" s="77">
        <f>SUM(Interesse_digital[[#This Row],[hotel ''cf'']],Interesse_digital[[#This Row],[pousada ''cf'']])</f>
        <v>124</v>
      </c>
    </row>
    <row r="195" spans="1:9">
      <c r="A195" s="106">
        <v>43862</v>
      </c>
      <c r="B195" s="77">
        <v>4</v>
      </c>
      <c r="C195" s="77">
        <v>34</v>
      </c>
      <c r="D195" s="77">
        <v>10</v>
      </c>
      <c r="E195" s="77">
        <v>36</v>
      </c>
      <c r="F195" s="77">
        <f t="shared" si="6"/>
        <v>2</v>
      </c>
      <c r="G195" s="77">
        <f t="shared" si="7"/>
        <v>2020</v>
      </c>
      <c r="H195" s="77">
        <f>SUM(Interesse_digital[[#This Row],[hotel ''ro'']],Interesse_digital[[#This Row],[pousada ''ro'']])</f>
        <v>14</v>
      </c>
      <c r="I195" s="77">
        <f>SUM(Interesse_digital[[#This Row],[hotel ''cf'']],Interesse_digital[[#This Row],[pousada ''cf'']])</f>
        <v>70</v>
      </c>
    </row>
    <row r="196" spans="1:9">
      <c r="A196" s="106">
        <v>43891</v>
      </c>
      <c r="B196" s="77">
        <v>1</v>
      </c>
      <c r="C196" s="77">
        <v>17</v>
      </c>
      <c r="D196" s="77">
        <v>4</v>
      </c>
      <c r="E196" s="77">
        <v>18</v>
      </c>
      <c r="F196" s="77">
        <f t="shared" si="6"/>
        <v>3</v>
      </c>
      <c r="G196" s="77">
        <f t="shared" si="7"/>
        <v>2020</v>
      </c>
      <c r="H196" s="77">
        <f>SUM(Interesse_digital[[#This Row],[hotel ''ro'']],Interesse_digital[[#This Row],[pousada ''ro'']])</f>
        <v>5</v>
      </c>
      <c r="I196" s="77">
        <f>SUM(Interesse_digital[[#This Row],[hotel ''cf'']],Interesse_digital[[#This Row],[pousada ''cf'']])</f>
        <v>35</v>
      </c>
    </row>
    <row r="197" spans="1:9">
      <c r="A197" s="106">
        <v>43922</v>
      </c>
      <c r="B197" s="77">
        <v>1</v>
      </c>
      <c r="C197" s="77">
        <v>5</v>
      </c>
      <c r="D197" s="77">
        <v>1</v>
      </c>
      <c r="E197" s="77">
        <v>5</v>
      </c>
      <c r="F197" s="77">
        <f t="shared" si="6"/>
        <v>4</v>
      </c>
      <c r="G197" s="77">
        <f t="shared" si="7"/>
        <v>2020</v>
      </c>
      <c r="H197" s="77">
        <f>SUM(Interesse_digital[[#This Row],[hotel ''ro'']],Interesse_digital[[#This Row],[pousada ''ro'']])</f>
        <v>2</v>
      </c>
      <c r="I197" s="77">
        <f>SUM(Interesse_digital[[#This Row],[hotel ''cf'']],Interesse_digital[[#This Row],[pousada ''cf'']])</f>
        <v>10</v>
      </c>
    </row>
    <row r="198" spans="1:9">
      <c r="A198" s="106">
        <v>43952</v>
      </c>
      <c r="B198" s="77">
        <v>1</v>
      </c>
      <c r="C198" s="77">
        <v>5</v>
      </c>
      <c r="D198" s="77">
        <v>2</v>
      </c>
      <c r="E198" s="77">
        <v>5</v>
      </c>
      <c r="F198" s="77">
        <f t="shared" si="6"/>
        <v>5</v>
      </c>
      <c r="G198" s="77">
        <f t="shared" si="7"/>
        <v>2020</v>
      </c>
      <c r="H198" s="77">
        <f>SUM(Interesse_digital[[#This Row],[hotel ''ro'']],Interesse_digital[[#This Row],[pousada ''ro'']])</f>
        <v>3</v>
      </c>
      <c r="I198" s="77">
        <f>SUM(Interesse_digital[[#This Row],[hotel ''cf'']],Interesse_digital[[#This Row],[pousada ''cf'']])</f>
        <v>10</v>
      </c>
    </row>
    <row r="199" spans="1:9">
      <c r="A199" s="106">
        <v>43983</v>
      </c>
      <c r="B199" s="77">
        <v>2</v>
      </c>
      <c r="C199" s="77">
        <v>8</v>
      </c>
      <c r="D199" s="77">
        <v>4</v>
      </c>
      <c r="E199" s="77">
        <v>9</v>
      </c>
      <c r="F199" s="77">
        <f t="shared" si="6"/>
        <v>6</v>
      </c>
      <c r="G199" s="77">
        <f t="shared" si="7"/>
        <v>2020</v>
      </c>
      <c r="H199" s="77">
        <f>SUM(Interesse_digital[[#This Row],[hotel ''ro'']],Interesse_digital[[#This Row],[pousada ''ro'']])</f>
        <v>6</v>
      </c>
      <c r="I199" s="77">
        <f>SUM(Interesse_digital[[#This Row],[hotel ''cf'']],Interesse_digital[[#This Row],[pousada ''cf'']])</f>
        <v>17</v>
      </c>
    </row>
    <row r="200" spans="1:9">
      <c r="A200" s="106">
        <v>44013</v>
      </c>
      <c r="B200" s="77">
        <v>2</v>
      </c>
      <c r="C200" s="77">
        <v>11</v>
      </c>
      <c r="D200" s="77">
        <v>5</v>
      </c>
      <c r="E200" s="77">
        <v>14</v>
      </c>
      <c r="F200" s="77">
        <f t="shared" si="6"/>
        <v>7</v>
      </c>
      <c r="G200" s="77">
        <f t="shared" si="7"/>
        <v>2020</v>
      </c>
      <c r="H200" s="77">
        <f>SUM(Interesse_digital[[#This Row],[hotel ''ro'']],Interesse_digital[[#This Row],[pousada ''ro'']])</f>
        <v>7</v>
      </c>
      <c r="I200" s="77">
        <f>SUM(Interesse_digital[[#This Row],[hotel ''cf'']],Interesse_digital[[#This Row],[pousada ''cf'']])</f>
        <v>25</v>
      </c>
    </row>
    <row r="201" spans="1:9">
      <c r="A201" s="106">
        <v>44044</v>
      </c>
      <c r="B201" s="77">
        <v>3</v>
      </c>
      <c r="C201" s="77">
        <v>18</v>
      </c>
      <c r="D201" s="77">
        <v>6</v>
      </c>
      <c r="E201" s="77">
        <v>23</v>
      </c>
      <c r="F201" s="77">
        <f t="shared" si="6"/>
        <v>8</v>
      </c>
      <c r="G201" s="77">
        <f t="shared" si="7"/>
        <v>2020</v>
      </c>
      <c r="H201" s="77">
        <f>SUM(Interesse_digital[[#This Row],[hotel ''ro'']],Interesse_digital[[#This Row],[pousada ''ro'']])</f>
        <v>9</v>
      </c>
      <c r="I201" s="77">
        <f>SUM(Interesse_digital[[#This Row],[hotel ''cf'']],Interesse_digital[[#This Row],[pousada ''cf'']])</f>
        <v>41</v>
      </c>
    </row>
    <row r="202" spans="1:9">
      <c r="A202" s="106">
        <v>44075</v>
      </c>
      <c r="B202" s="77">
        <v>4</v>
      </c>
      <c r="C202" s="77">
        <v>35</v>
      </c>
      <c r="D202" s="77">
        <v>11</v>
      </c>
      <c r="E202" s="77">
        <v>41</v>
      </c>
      <c r="F202" s="77">
        <f t="shared" si="6"/>
        <v>9</v>
      </c>
      <c r="G202" s="77">
        <f t="shared" si="7"/>
        <v>2020</v>
      </c>
      <c r="H202" s="77">
        <f>SUM(Interesse_digital[[#This Row],[hotel ''ro'']],Interesse_digital[[#This Row],[pousada ''ro'']])</f>
        <v>15</v>
      </c>
      <c r="I202" s="77">
        <f>SUM(Interesse_digital[[#This Row],[hotel ''cf'']],Interesse_digital[[#This Row],[pousada ''cf'']])</f>
        <v>76</v>
      </c>
    </row>
    <row r="203" spans="1:9">
      <c r="A203" s="106">
        <v>44105</v>
      </c>
      <c r="B203" s="77">
        <v>5</v>
      </c>
      <c r="C203" s="77">
        <v>37</v>
      </c>
      <c r="D203" s="77">
        <v>11</v>
      </c>
      <c r="E203" s="77">
        <v>44</v>
      </c>
      <c r="F203" s="77">
        <f t="shared" si="6"/>
        <v>10</v>
      </c>
      <c r="G203" s="77">
        <f t="shared" si="7"/>
        <v>2020</v>
      </c>
      <c r="H203" s="77">
        <f>SUM(Interesse_digital[[#This Row],[hotel ''ro'']],Interesse_digital[[#This Row],[pousada ''ro'']])</f>
        <v>16</v>
      </c>
      <c r="I203" s="77">
        <f>SUM(Interesse_digital[[#This Row],[hotel ''cf'']],Interesse_digital[[#This Row],[pousada ''cf'']])</f>
        <v>81</v>
      </c>
    </row>
    <row r="204" spans="1:9">
      <c r="A204" s="106">
        <v>44136</v>
      </c>
      <c r="B204" s="77">
        <v>4</v>
      </c>
      <c r="C204" s="77">
        <v>31</v>
      </c>
      <c r="D204" s="77">
        <v>8</v>
      </c>
      <c r="E204" s="77">
        <v>34</v>
      </c>
      <c r="F204" s="77">
        <f t="shared" si="6"/>
        <v>11</v>
      </c>
      <c r="G204" s="77">
        <f t="shared" si="7"/>
        <v>2020</v>
      </c>
      <c r="H204" s="77">
        <f>SUM(Interesse_digital[[#This Row],[hotel ''ro'']],Interesse_digital[[#This Row],[pousada ''ro'']])</f>
        <v>12</v>
      </c>
      <c r="I204" s="77">
        <f>SUM(Interesse_digital[[#This Row],[hotel ''cf'']],Interesse_digital[[#This Row],[pousada ''cf'']])</f>
        <v>65</v>
      </c>
    </row>
    <row r="205" spans="1:9">
      <c r="A205" s="106">
        <v>44166</v>
      </c>
      <c r="B205" s="77">
        <v>3</v>
      </c>
      <c r="C205" s="77">
        <v>28</v>
      </c>
      <c r="D205" s="77">
        <v>8</v>
      </c>
      <c r="E205" s="77">
        <v>33</v>
      </c>
      <c r="F205" s="77">
        <f t="shared" si="6"/>
        <v>12</v>
      </c>
      <c r="G205" s="77">
        <f t="shared" si="7"/>
        <v>2020</v>
      </c>
      <c r="H205" s="77">
        <f>SUM(Interesse_digital[[#This Row],[hotel ''ro'']],Interesse_digital[[#This Row],[pousada ''ro'']])</f>
        <v>11</v>
      </c>
      <c r="I205" s="77">
        <f>SUM(Interesse_digital[[#This Row],[hotel ''cf'']],Interesse_digital[[#This Row],[pousada ''cf'']])</f>
        <v>61</v>
      </c>
    </row>
    <row r="206" spans="1:9">
      <c r="A206" s="106">
        <v>44197</v>
      </c>
      <c r="B206" s="77">
        <v>5</v>
      </c>
      <c r="C206" s="77">
        <v>40</v>
      </c>
      <c r="D206" s="77">
        <v>13</v>
      </c>
      <c r="E206" s="77">
        <v>46</v>
      </c>
      <c r="F206" s="77">
        <f t="shared" si="6"/>
        <v>1</v>
      </c>
      <c r="G206" s="77">
        <f t="shared" si="7"/>
        <v>2021</v>
      </c>
      <c r="H206" s="77">
        <f>SUM(Interesse_digital[[#This Row],[hotel ''ro'']],Interesse_digital[[#This Row],[pousada ''ro'']])</f>
        <v>18</v>
      </c>
      <c r="I206" s="77">
        <f>SUM(Interesse_digital[[#This Row],[hotel ''cf'']],Interesse_digital[[#This Row],[pousada ''cf'']])</f>
        <v>86</v>
      </c>
    </row>
    <row r="207" spans="1:9">
      <c r="A207" s="106">
        <v>44228</v>
      </c>
      <c r="B207" s="77">
        <v>3</v>
      </c>
      <c r="C207" s="77">
        <v>29</v>
      </c>
      <c r="D207" s="77">
        <v>9</v>
      </c>
      <c r="E207" s="77">
        <v>32</v>
      </c>
      <c r="F207" s="77">
        <f t="shared" si="6"/>
        <v>2</v>
      </c>
      <c r="G207" s="77">
        <f t="shared" si="7"/>
        <v>2021</v>
      </c>
      <c r="H207" s="77">
        <f>SUM(Interesse_digital[[#This Row],[hotel ''ro'']],Interesse_digital[[#This Row],[pousada ''ro'']])</f>
        <v>12</v>
      </c>
      <c r="I207" s="77">
        <f>SUM(Interesse_digital[[#This Row],[hotel ''cf'']],Interesse_digital[[#This Row],[pousada ''cf'']])</f>
        <v>61</v>
      </c>
    </row>
    <row r="208" spans="1:9">
      <c r="A208" s="106">
        <v>44256</v>
      </c>
      <c r="B208" s="77">
        <v>2</v>
      </c>
      <c r="C208" s="77">
        <v>17</v>
      </c>
      <c r="D208" s="77">
        <v>5</v>
      </c>
      <c r="E208" s="77">
        <v>18</v>
      </c>
      <c r="F208" s="77">
        <f t="shared" si="6"/>
        <v>3</v>
      </c>
      <c r="G208" s="77">
        <f t="shared" si="7"/>
        <v>2021</v>
      </c>
      <c r="H208" s="77">
        <f>SUM(Interesse_digital[[#This Row],[hotel ''ro'']],Interesse_digital[[#This Row],[pousada ''ro'']])</f>
        <v>7</v>
      </c>
      <c r="I208" s="77">
        <f>SUM(Interesse_digital[[#This Row],[hotel ''cf'']],Interesse_digital[[#This Row],[pousada ''cf'']])</f>
        <v>35</v>
      </c>
    </row>
    <row r="209" spans="1:9">
      <c r="A209" s="106">
        <v>44287</v>
      </c>
      <c r="B209" s="77">
        <v>2</v>
      </c>
      <c r="C209" s="77">
        <v>12</v>
      </c>
      <c r="D209" s="77">
        <v>4</v>
      </c>
      <c r="E209" s="77">
        <v>13</v>
      </c>
      <c r="F209" s="77">
        <f t="shared" si="6"/>
        <v>4</v>
      </c>
      <c r="G209" s="77">
        <f t="shared" si="7"/>
        <v>2021</v>
      </c>
      <c r="H209" s="77">
        <f>SUM(Interesse_digital[[#This Row],[hotel ''ro'']],Interesse_digital[[#This Row],[pousada ''ro'']])</f>
        <v>6</v>
      </c>
      <c r="I209" s="77">
        <f>SUM(Interesse_digital[[#This Row],[hotel ''cf'']],Interesse_digital[[#This Row],[pousada ''cf'']])</f>
        <v>25</v>
      </c>
    </row>
    <row r="210" spans="1:9">
      <c r="A210" s="106">
        <v>44317</v>
      </c>
      <c r="B210" s="77">
        <v>3</v>
      </c>
      <c r="C210" s="77">
        <v>14</v>
      </c>
      <c r="D210" s="77">
        <v>5</v>
      </c>
      <c r="E210" s="77">
        <v>15</v>
      </c>
      <c r="F210" s="77">
        <f t="shared" si="6"/>
        <v>5</v>
      </c>
      <c r="G210" s="77">
        <f t="shared" si="7"/>
        <v>2021</v>
      </c>
      <c r="H210" s="77">
        <f>SUM(Interesse_digital[[#This Row],[hotel ''ro'']],Interesse_digital[[#This Row],[pousada ''ro'']])</f>
        <v>8</v>
      </c>
      <c r="I210" s="77">
        <f>SUM(Interesse_digital[[#This Row],[hotel ''cf'']],Interesse_digital[[#This Row],[pousada ''cf'']])</f>
        <v>29</v>
      </c>
    </row>
    <row r="211" spans="1:9">
      <c r="A211" s="106">
        <v>44348</v>
      </c>
      <c r="B211" s="77">
        <v>3</v>
      </c>
      <c r="C211" s="77">
        <v>15</v>
      </c>
      <c r="D211" s="77">
        <v>6</v>
      </c>
      <c r="E211" s="77">
        <v>18</v>
      </c>
      <c r="F211" s="77">
        <f t="shared" si="6"/>
        <v>6</v>
      </c>
      <c r="G211" s="77">
        <f t="shared" si="7"/>
        <v>2021</v>
      </c>
      <c r="H211" s="77">
        <f>SUM(Interesse_digital[[#This Row],[hotel ''ro'']],Interesse_digital[[#This Row],[pousada ''ro'']])</f>
        <v>9</v>
      </c>
      <c r="I211" s="77">
        <f>SUM(Interesse_digital[[#This Row],[hotel ''cf'']],Interesse_digital[[#This Row],[pousada ''cf'']])</f>
        <v>33</v>
      </c>
    </row>
    <row r="212" spans="1:9">
      <c r="A212" s="106">
        <v>44378</v>
      </c>
      <c r="B212" s="77">
        <v>3</v>
      </c>
      <c r="C212" s="77">
        <v>20</v>
      </c>
      <c r="D212" s="77">
        <v>6</v>
      </c>
      <c r="E212" s="77">
        <v>20</v>
      </c>
      <c r="F212" s="77">
        <f t="shared" si="6"/>
        <v>7</v>
      </c>
      <c r="G212" s="77">
        <f t="shared" si="7"/>
        <v>2021</v>
      </c>
      <c r="H212" s="77">
        <f>SUM(Interesse_digital[[#This Row],[hotel ''ro'']],Interesse_digital[[#This Row],[pousada ''ro'']])</f>
        <v>9</v>
      </c>
      <c r="I212" s="77">
        <f>SUM(Interesse_digital[[#This Row],[hotel ''cf'']],Interesse_digital[[#This Row],[pousada ''cf'']])</f>
        <v>40</v>
      </c>
    </row>
    <row r="213" spans="1:9">
      <c r="A213" s="106">
        <v>44409</v>
      </c>
      <c r="B213" s="77">
        <v>3</v>
      </c>
      <c r="C213" s="77">
        <v>27</v>
      </c>
      <c r="D213" s="77">
        <v>7</v>
      </c>
      <c r="E213" s="77">
        <v>26</v>
      </c>
      <c r="F213" s="77">
        <f t="shared" si="6"/>
        <v>8</v>
      </c>
      <c r="G213" s="77">
        <f t="shared" si="7"/>
        <v>2021</v>
      </c>
      <c r="H213" s="77">
        <f>SUM(Interesse_digital[[#This Row],[hotel ''ro'']],Interesse_digital[[#This Row],[pousada ''ro'']])</f>
        <v>10</v>
      </c>
      <c r="I213" s="77">
        <f>SUM(Interesse_digital[[#This Row],[hotel ''cf'']],Interesse_digital[[#This Row],[pousada ''cf'']])</f>
        <v>53</v>
      </c>
    </row>
    <row r="214" spans="1:9">
      <c r="A214" s="106">
        <v>44440</v>
      </c>
      <c r="B214" s="77">
        <v>3</v>
      </c>
      <c r="C214" s="77">
        <v>34</v>
      </c>
      <c r="D214" s="77">
        <v>8</v>
      </c>
      <c r="E214" s="77">
        <v>34</v>
      </c>
      <c r="F214" s="77">
        <f t="shared" si="6"/>
        <v>9</v>
      </c>
      <c r="G214" s="77">
        <f t="shared" si="7"/>
        <v>2021</v>
      </c>
      <c r="H214" s="77">
        <f>SUM(Interesse_digital[[#This Row],[hotel ''ro'']],Interesse_digital[[#This Row],[pousada ''ro'']])</f>
        <v>11</v>
      </c>
      <c r="I214" s="77">
        <f>SUM(Interesse_digital[[#This Row],[hotel ''cf'']],Interesse_digital[[#This Row],[pousada ''cf'']])</f>
        <v>68</v>
      </c>
    </row>
    <row r="215" spans="1:9">
      <c r="A215" s="106">
        <v>44470</v>
      </c>
      <c r="B215" s="77">
        <v>4</v>
      </c>
      <c r="C215" s="77">
        <v>30</v>
      </c>
      <c r="D215" s="77">
        <v>8</v>
      </c>
      <c r="E215" s="77">
        <v>29</v>
      </c>
      <c r="F215" s="77">
        <f t="shared" si="6"/>
        <v>10</v>
      </c>
      <c r="G215" s="77">
        <f t="shared" si="7"/>
        <v>2021</v>
      </c>
      <c r="H215" s="77">
        <f>SUM(Interesse_digital[[#This Row],[hotel ''ro'']],Interesse_digital[[#This Row],[pousada ''ro'']])</f>
        <v>12</v>
      </c>
      <c r="I215" s="77">
        <f>SUM(Interesse_digital[[#This Row],[hotel ''cf'']],Interesse_digital[[#This Row],[pousada ''cf'']])</f>
        <v>59</v>
      </c>
    </row>
    <row r="216" spans="1:9">
      <c r="A216" s="106">
        <v>44501</v>
      </c>
      <c r="B216" s="77">
        <v>4</v>
      </c>
      <c r="C216" s="77">
        <v>31</v>
      </c>
      <c r="D216" s="77">
        <v>8</v>
      </c>
      <c r="E216" s="77">
        <v>30</v>
      </c>
      <c r="F216" s="77">
        <f t="shared" si="6"/>
        <v>11</v>
      </c>
      <c r="G216" s="77">
        <f t="shared" si="7"/>
        <v>2021</v>
      </c>
      <c r="H216" s="77">
        <f>SUM(Interesse_digital[[#This Row],[hotel ''ro'']],Interesse_digital[[#This Row],[pousada ''ro'']])</f>
        <v>12</v>
      </c>
      <c r="I216" s="77">
        <f>SUM(Interesse_digital[[#This Row],[hotel ''cf'']],Interesse_digital[[#This Row],[pousada ''cf'']])</f>
        <v>61</v>
      </c>
    </row>
    <row r="217" spans="1:9">
      <c r="A217" s="106">
        <v>44531</v>
      </c>
      <c r="B217" s="77">
        <v>5</v>
      </c>
      <c r="C217" s="77">
        <v>34</v>
      </c>
      <c r="D217" s="77">
        <v>10</v>
      </c>
      <c r="E217" s="77">
        <v>38</v>
      </c>
      <c r="F217" s="77">
        <f t="shared" si="6"/>
        <v>12</v>
      </c>
      <c r="G217" s="77">
        <f t="shared" si="7"/>
        <v>2021</v>
      </c>
      <c r="H217" s="77">
        <f>SUM(Interesse_digital[[#This Row],[hotel ''ro'']],Interesse_digital[[#This Row],[pousada ''ro'']])</f>
        <v>15</v>
      </c>
      <c r="I217" s="77">
        <f>SUM(Interesse_digital[[#This Row],[hotel ''cf'']],Interesse_digital[[#This Row],[pousada ''cf'']])</f>
        <v>72</v>
      </c>
    </row>
    <row r="218" spans="1:9">
      <c r="A218" s="106">
        <v>44562</v>
      </c>
      <c r="B218" s="77">
        <v>6</v>
      </c>
      <c r="C218" s="77">
        <v>47</v>
      </c>
      <c r="D218" s="77">
        <v>12</v>
      </c>
      <c r="E218" s="77">
        <v>48</v>
      </c>
      <c r="F218" s="77">
        <f t="shared" si="6"/>
        <v>1</v>
      </c>
      <c r="G218" s="77">
        <f t="shared" si="7"/>
        <v>2022</v>
      </c>
      <c r="H218" s="77">
        <f>SUM(Interesse_digital[[#This Row],[hotel ''ro'']],Interesse_digital[[#This Row],[pousada ''ro'']])</f>
        <v>18</v>
      </c>
      <c r="I218" s="77">
        <f>SUM(Interesse_digital[[#This Row],[hotel ''cf'']],Interesse_digital[[#This Row],[pousada ''cf'']])</f>
        <v>95</v>
      </c>
    </row>
    <row r="219" spans="1:9">
      <c r="A219" s="106">
        <v>44593</v>
      </c>
      <c r="B219" s="77">
        <v>4</v>
      </c>
      <c r="C219" s="77">
        <v>33</v>
      </c>
      <c r="D219" s="77">
        <v>10</v>
      </c>
      <c r="E219" s="77">
        <v>35</v>
      </c>
      <c r="F219" s="77">
        <f t="shared" si="6"/>
        <v>2</v>
      </c>
      <c r="G219" s="77">
        <f t="shared" si="7"/>
        <v>2022</v>
      </c>
      <c r="H219" s="77">
        <f>SUM(Interesse_digital[[#This Row],[hotel ''ro'']],Interesse_digital[[#This Row],[pousada ''ro'']])</f>
        <v>14</v>
      </c>
      <c r="I219" s="77">
        <f>SUM(Interesse_digital[[#This Row],[hotel ''cf'']],Interesse_digital[[#This Row],[pousada ''cf'']])</f>
        <v>68</v>
      </c>
    </row>
    <row r="220" spans="1:9">
      <c r="A220" s="106">
        <v>44621</v>
      </c>
      <c r="B220" s="77">
        <v>6</v>
      </c>
      <c r="C220" s="77">
        <v>36</v>
      </c>
      <c r="D220" s="77">
        <v>12</v>
      </c>
      <c r="E220" s="77">
        <v>38</v>
      </c>
      <c r="F220" s="77">
        <f t="shared" si="6"/>
        <v>3</v>
      </c>
      <c r="G220" s="77">
        <f t="shared" si="7"/>
        <v>2022</v>
      </c>
      <c r="H220" s="77">
        <f>SUM(Interesse_digital[[#This Row],[hotel ''ro'']],Interesse_digital[[#This Row],[pousada ''ro'']])</f>
        <v>18</v>
      </c>
      <c r="I220" s="77">
        <f>SUM(Interesse_digital[[#This Row],[hotel ''cf'']],Interesse_digital[[#This Row],[pousada ''cf'']])</f>
        <v>74</v>
      </c>
    </row>
    <row r="221" spans="1:9">
      <c r="A221" s="106">
        <v>44652</v>
      </c>
      <c r="B221" s="77">
        <v>4</v>
      </c>
      <c r="C221" s="77">
        <v>25</v>
      </c>
      <c r="D221" s="77">
        <v>7</v>
      </c>
      <c r="E221" s="77">
        <v>23</v>
      </c>
      <c r="F221" s="77">
        <f t="shared" si="6"/>
        <v>4</v>
      </c>
      <c r="G221" s="77">
        <f t="shared" si="7"/>
        <v>2022</v>
      </c>
      <c r="H221" s="77">
        <f>SUM(Interesse_digital[[#This Row],[hotel ''ro'']],Interesse_digital[[#This Row],[pousada ''ro'']])</f>
        <v>11</v>
      </c>
      <c r="I221" s="77">
        <f>SUM(Interesse_digital[[#This Row],[hotel ''cf'']],Interesse_digital[[#This Row],[pousada ''cf'']])</f>
        <v>48</v>
      </c>
    </row>
    <row r="222" spans="1:9">
      <c r="A222" s="106">
        <v>44682</v>
      </c>
      <c r="B222" s="77">
        <v>3</v>
      </c>
      <c r="C222" s="77">
        <v>15</v>
      </c>
      <c r="D222" s="77">
        <v>5</v>
      </c>
      <c r="E222" s="77">
        <v>15</v>
      </c>
      <c r="F222" s="77">
        <f t="shared" si="6"/>
        <v>5</v>
      </c>
      <c r="G222" s="77">
        <f t="shared" si="7"/>
        <v>2022</v>
      </c>
      <c r="H222" s="77">
        <f>SUM(Interesse_digital[[#This Row],[hotel ''ro'']],Interesse_digital[[#This Row],[pousada ''ro'']])</f>
        <v>8</v>
      </c>
      <c r="I222" s="77">
        <f>SUM(Interesse_digital[[#This Row],[hotel ''cf'']],Interesse_digital[[#This Row],[pousada ''cf'']])</f>
        <v>30</v>
      </c>
    </row>
    <row r="223" spans="1:9">
      <c r="A223" s="106">
        <v>44713</v>
      </c>
      <c r="B223" s="77">
        <v>3</v>
      </c>
      <c r="C223" s="77">
        <v>14</v>
      </c>
      <c r="D223" s="77">
        <v>6</v>
      </c>
      <c r="E223" s="77">
        <v>13</v>
      </c>
      <c r="F223" s="77">
        <f t="shared" si="6"/>
        <v>6</v>
      </c>
      <c r="G223" s="77">
        <f t="shared" si="7"/>
        <v>2022</v>
      </c>
      <c r="H223" s="77">
        <f>SUM(Interesse_digital[[#This Row],[hotel ''ro'']],Interesse_digital[[#This Row],[pousada ''ro'']])</f>
        <v>9</v>
      </c>
      <c r="I223" s="77">
        <f>SUM(Interesse_digital[[#This Row],[hotel ''cf'']],Interesse_digital[[#This Row],[pousada ''cf'']])</f>
        <v>27</v>
      </c>
    </row>
    <row r="224" spans="1:9">
      <c r="A224" s="106">
        <v>44743</v>
      </c>
      <c r="B224" s="77">
        <v>4</v>
      </c>
      <c r="C224" s="77">
        <v>24</v>
      </c>
      <c r="D224" s="77">
        <v>7</v>
      </c>
      <c r="E224" s="77">
        <v>23</v>
      </c>
      <c r="F224" s="77">
        <f t="shared" si="6"/>
        <v>7</v>
      </c>
      <c r="G224" s="77">
        <f t="shared" si="7"/>
        <v>2022</v>
      </c>
      <c r="H224" s="77">
        <f>SUM(Interesse_digital[[#This Row],[hotel ''ro'']],Interesse_digital[[#This Row],[pousada ''ro'']])</f>
        <v>11</v>
      </c>
      <c r="I224" s="77">
        <f>SUM(Interesse_digital[[#This Row],[hotel ''cf'']],Interesse_digital[[#This Row],[pousada ''cf'']])</f>
        <v>47</v>
      </c>
    </row>
    <row r="225" spans="1:9">
      <c r="A225" s="106">
        <v>44774</v>
      </c>
      <c r="B225" s="77">
        <v>3</v>
      </c>
      <c r="C225" s="77">
        <v>23</v>
      </c>
      <c r="D225" s="77">
        <v>6</v>
      </c>
      <c r="E225" s="77">
        <v>19</v>
      </c>
      <c r="F225" s="77">
        <f t="shared" si="6"/>
        <v>8</v>
      </c>
      <c r="G225" s="77">
        <f t="shared" si="7"/>
        <v>2022</v>
      </c>
      <c r="H225" s="77">
        <f>SUM(Interesse_digital[[#This Row],[hotel ''ro'']],Interesse_digital[[#This Row],[pousada ''ro'']])</f>
        <v>9</v>
      </c>
      <c r="I225" s="77">
        <f>SUM(Interesse_digital[[#This Row],[hotel ''cf'']],Interesse_digital[[#This Row],[pousada ''cf'']])</f>
        <v>42</v>
      </c>
    </row>
    <row r="226" spans="1:9">
      <c r="A226" s="106">
        <v>44805</v>
      </c>
      <c r="B226" s="77">
        <v>3</v>
      </c>
      <c r="C226" s="77">
        <v>25</v>
      </c>
      <c r="D226" s="77">
        <v>6</v>
      </c>
      <c r="E226" s="77">
        <v>22</v>
      </c>
      <c r="F226" s="77">
        <f t="shared" si="6"/>
        <v>9</v>
      </c>
      <c r="G226" s="77">
        <f t="shared" si="7"/>
        <v>2022</v>
      </c>
      <c r="H226" s="77">
        <f>SUM(Interesse_digital[[#This Row],[hotel ''ro'']],Interesse_digital[[#This Row],[pousada ''ro'']])</f>
        <v>9</v>
      </c>
      <c r="I226" s="77">
        <f>SUM(Interesse_digital[[#This Row],[hotel ''cf'']],Interesse_digital[[#This Row],[pousada ''cf'']])</f>
        <v>47</v>
      </c>
    </row>
    <row r="227" spans="1:9">
      <c r="A227" s="106">
        <v>44835</v>
      </c>
      <c r="B227" s="77">
        <v>4</v>
      </c>
      <c r="C227" s="77">
        <v>31</v>
      </c>
      <c r="D227" s="77">
        <v>7</v>
      </c>
      <c r="E227" s="77">
        <v>29</v>
      </c>
      <c r="F227" s="77">
        <f t="shared" si="6"/>
        <v>10</v>
      </c>
      <c r="G227" s="77">
        <f t="shared" si="7"/>
        <v>2022</v>
      </c>
      <c r="H227" s="77">
        <f>SUM(Interesse_digital[[#This Row],[hotel ''ro'']],Interesse_digital[[#This Row],[pousada ''ro'']])</f>
        <v>11</v>
      </c>
      <c r="I227" s="77">
        <f>SUM(Interesse_digital[[#This Row],[hotel ''cf'']],Interesse_digital[[#This Row],[pousada ''cf'']])</f>
        <v>60</v>
      </c>
    </row>
    <row r="228" spans="1:9">
      <c r="A228" s="106">
        <v>44866</v>
      </c>
      <c r="B228" s="77">
        <v>4</v>
      </c>
      <c r="C228" s="77">
        <v>29</v>
      </c>
      <c r="D228" s="77">
        <v>8</v>
      </c>
      <c r="E228" s="77">
        <v>29</v>
      </c>
      <c r="F228" s="77">
        <f t="shared" si="6"/>
        <v>11</v>
      </c>
      <c r="G228" s="77">
        <f t="shared" si="7"/>
        <v>2022</v>
      </c>
      <c r="H228" s="77">
        <f>SUM(Interesse_digital[[#This Row],[hotel ''ro'']],Interesse_digital[[#This Row],[pousada ''ro'']])</f>
        <v>12</v>
      </c>
      <c r="I228" s="77">
        <f>SUM(Interesse_digital[[#This Row],[hotel ''cf'']],Interesse_digital[[#This Row],[pousada ''cf'']])</f>
        <v>58</v>
      </c>
    </row>
    <row r="229" spans="1:9">
      <c r="A229" s="106">
        <v>44896</v>
      </c>
      <c r="B229" s="77">
        <v>5</v>
      </c>
      <c r="C229" s="77">
        <v>35</v>
      </c>
      <c r="D229" s="77">
        <v>9</v>
      </c>
      <c r="E229" s="77">
        <v>35</v>
      </c>
      <c r="F229" s="77">
        <f t="shared" si="6"/>
        <v>12</v>
      </c>
      <c r="G229" s="77">
        <f t="shared" si="7"/>
        <v>2022</v>
      </c>
      <c r="H229" s="77">
        <f>SUM(Interesse_digital[[#This Row],[hotel ''ro'']],Interesse_digital[[#This Row],[pousada ''ro'']])</f>
        <v>14</v>
      </c>
      <c r="I229" s="77">
        <f>SUM(Interesse_digital[[#This Row],[hotel ''cf'']],Interesse_digital[[#This Row],[pousada ''cf'']])</f>
        <v>70</v>
      </c>
    </row>
    <row r="230" spans="1:9">
      <c r="A230" s="106">
        <v>44927</v>
      </c>
      <c r="B230" s="77">
        <v>6</v>
      </c>
      <c r="C230" s="77">
        <v>47</v>
      </c>
      <c r="D230" s="77">
        <v>17</v>
      </c>
      <c r="E230" s="77">
        <v>51</v>
      </c>
      <c r="F230" s="77">
        <f t="shared" si="6"/>
        <v>1</v>
      </c>
      <c r="G230" s="77">
        <f t="shared" si="7"/>
        <v>2023</v>
      </c>
      <c r="H230" s="77">
        <f>SUM(Interesse_digital[[#This Row],[hotel ''ro'']],Interesse_digital[[#This Row],[pousada ''ro'']])</f>
        <v>23</v>
      </c>
      <c r="I230" s="77">
        <f>SUM(Interesse_digital[[#This Row],[hotel ''cf'']],Interesse_digital[[#This Row],[pousada ''cf'']])</f>
        <v>98</v>
      </c>
    </row>
    <row r="231" spans="1:9">
      <c r="A231" s="106">
        <v>44958</v>
      </c>
      <c r="B231" s="77">
        <v>5</v>
      </c>
      <c r="C231" s="77">
        <v>33</v>
      </c>
      <c r="D231" s="77">
        <v>10</v>
      </c>
      <c r="E231" s="77">
        <v>34</v>
      </c>
      <c r="F231" s="77">
        <f t="shared" si="6"/>
        <v>2</v>
      </c>
      <c r="G231" s="77">
        <f t="shared" si="7"/>
        <v>2023</v>
      </c>
      <c r="H231" s="77">
        <f>SUM(Interesse_digital[[#This Row],[hotel ''ro'']],Interesse_digital[[#This Row],[pousada ''ro'']])</f>
        <v>15</v>
      </c>
      <c r="I231" s="77">
        <f>SUM(Interesse_digital[[#This Row],[hotel ''cf'']],Interesse_digital[[#This Row],[pousada ''cf'']])</f>
        <v>67</v>
      </c>
    </row>
    <row r="232" spans="1:9">
      <c r="A232" s="106">
        <v>44986</v>
      </c>
      <c r="B232" s="77">
        <v>5</v>
      </c>
      <c r="C232" s="77">
        <v>29</v>
      </c>
      <c r="D232" s="77">
        <v>9</v>
      </c>
      <c r="E232" s="77">
        <v>29</v>
      </c>
      <c r="F232" s="77">
        <f t="shared" si="6"/>
        <v>3</v>
      </c>
      <c r="G232" s="77">
        <f t="shared" si="7"/>
        <v>2023</v>
      </c>
      <c r="H232" s="77">
        <f>SUM(Interesse_digital[[#This Row],[hotel ''ro'']],Interesse_digital[[#This Row],[pousada ''ro'']])</f>
        <v>14</v>
      </c>
      <c r="I232" s="77">
        <f>SUM(Interesse_digital[[#This Row],[hotel ''cf'']],Interesse_digital[[#This Row],[pousada ''cf'']])</f>
        <v>58</v>
      </c>
    </row>
    <row r="233" spans="1:9">
      <c r="A233" s="106">
        <v>45017</v>
      </c>
      <c r="B233" s="77">
        <v>3</v>
      </c>
      <c r="C233" s="77">
        <v>19</v>
      </c>
      <c r="D233" s="77">
        <v>6</v>
      </c>
      <c r="E233" s="77">
        <v>19</v>
      </c>
      <c r="F233" s="77">
        <f t="shared" si="6"/>
        <v>4</v>
      </c>
      <c r="G233" s="77">
        <f t="shared" si="7"/>
        <v>2023</v>
      </c>
      <c r="H233" s="77">
        <f>SUM(Interesse_digital[[#This Row],[hotel ''ro'']],Interesse_digital[[#This Row],[pousada ''ro'']])</f>
        <v>9</v>
      </c>
      <c r="I233" s="77">
        <f>SUM(Interesse_digital[[#This Row],[hotel ''cf'']],Interesse_digital[[#This Row],[pousada ''cf'']])</f>
        <v>38</v>
      </c>
    </row>
    <row r="234" spans="1:9">
      <c r="A234" s="106">
        <v>45047</v>
      </c>
      <c r="B234" s="77">
        <v>3</v>
      </c>
      <c r="C234" s="77">
        <v>14</v>
      </c>
      <c r="D234" s="77">
        <v>5</v>
      </c>
      <c r="E234" s="77">
        <v>13</v>
      </c>
      <c r="F234" s="77">
        <f t="shared" si="6"/>
        <v>5</v>
      </c>
      <c r="G234" s="77">
        <f t="shared" si="7"/>
        <v>2023</v>
      </c>
      <c r="H234" s="77">
        <f>SUM(Interesse_digital[[#This Row],[hotel ''ro'']],Interesse_digital[[#This Row],[pousada ''ro'']])</f>
        <v>8</v>
      </c>
      <c r="I234" s="77">
        <f>SUM(Interesse_digital[[#This Row],[hotel ''cf'']],Interesse_digital[[#This Row],[pousada ''cf'']])</f>
        <v>27</v>
      </c>
    </row>
    <row r="235" spans="1:9">
      <c r="A235" s="106">
        <v>45078</v>
      </c>
      <c r="B235" s="77">
        <v>3</v>
      </c>
      <c r="C235" s="77">
        <v>15</v>
      </c>
      <c r="D235" s="77">
        <v>5</v>
      </c>
      <c r="E235" s="77">
        <v>13</v>
      </c>
      <c r="F235" s="77">
        <f t="shared" si="6"/>
        <v>6</v>
      </c>
      <c r="G235" s="77">
        <f t="shared" si="7"/>
        <v>2023</v>
      </c>
      <c r="H235" s="77">
        <f>SUM(Interesse_digital[[#This Row],[hotel ''ro'']],Interesse_digital[[#This Row],[pousada ''ro'']])</f>
        <v>8</v>
      </c>
      <c r="I235" s="77">
        <f>SUM(Interesse_digital[[#This Row],[hotel ''cf'']],Interesse_digital[[#This Row],[pousada ''cf'']])</f>
        <v>28</v>
      </c>
    </row>
    <row r="236" spans="1:9">
      <c r="A236" s="106">
        <v>45108</v>
      </c>
      <c r="B236" s="77">
        <v>3</v>
      </c>
      <c r="C236" s="77">
        <v>18</v>
      </c>
      <c r="D236" s="77">
        <v>5</v>
      </c>
      <c r="E236" s="77">
        <v>17</v>
      </c>
      <c r="F236" s="77">
        <f t="shared" si="6"/>
        <v>7</v>
      </c>
      <c r="G236" s="77">
        <f t="shared" si="7"/>
        <v>2023</v>
      </c>
      <c r="H236" s="77">
        <f>SUM(Interesse_digital[[#This Row],[hotel ''ro'']],Interesse_digital[[#This Row],[pousada ''ro'']])</f>
        <v>8</v>
      </c>
      <c r="I236" s="77">
        <f>SUM(Interesse_digital[[#This Row],[hotel ''cf'']],Interesse_digital[[#This Row],[pousada ''cf'']])</f>
        <v>35</v>
      </c>
    </row>
    <row r="237" spans="1:9">
      <c r="A237" s="106">
        <v>45139</v>
      </c>
      <c r="B237" s="77">
        <v>3</v>
      </c>
      <c r="C237" s="77">
        <v>21</v>
      </c>
      <c r="D237" s="77">
        <v>6</v>
      </c>
      <c r="E237" s="77">
        <v>18</v>
      </c>
      <c r="F237" s="77">
        <f t="shared" si="6"/>
        <v>8</v>
      </c>
      <c r="G237" s="77">
        <f t="shared" si="7"/>
        <v>2023</v>
      </c>
      <c r="H237" s="77">
        <f>SUM(Interesse_digital[[#This Row],[hotel ''ro'']],Interesse_digital[[#This Row],[pousada ''ro'']])</f>
        <v>9</v>
      </c>
      <c r="I237" s="77">
        <f>SUM(Interesse_digital[[#This Row],[hotel ''cf'']],Interesse_digital[[#This Row],[pousada ''cf'']])</f>
        <v>39</v>
      </c>
    </row>
    <row r="238" spans="1:9">
      <c r="A238" s="106">
        <v>45170</v>
      </c>
      <c r="B238" s="77">
        <v>4</v>
      </c>
      <c r="C238" s="77">
        <v>26</v>
      </c>
      <c r="D238" s="77">
        <v>7</v>
      </c>
      <c r="E238" s="77">
        <v>25</v>
      </c>
      <c r="F238" s="77">
        <f t="shared" si="6"/>
        <v>9</v>
      </c>
      <c r="G238" s="77">
        <f t="shared" si="7"/>
        <v>2023</v>
      </c>
      <c r="H238" s="77">
        <f>SUM(Interesse_digital[[#This Row],[hotel ''ro'']],Interesse_digital[[#This Row],[pousada ''ro'']])</f>
        <v>11</v>
      </c>
      <c r="I238" s="77">
        <f>SUM(Interesse_digital[[#This Row],[hotel ''cf'']],Interesse_digital[[#This Row],[pousada ''cf'']])</f>
        <v>51</v>
      </c>
    </row>
    <row r="239" spans="1:9">
      <c r="A239" s="106">
        <v>45200</v>
      </c>
      <c r="B239" s="77">
        <v>3</v>
      </c>
      <c r="C239" s="77">
        <v>26</v>
      </c>
      <c r="D239" s="77">
        <v>7</v>
      </c>
      <c r="E239" s="77">
        <v>24</v>
      </c>
      <c r="F239" s="77">
        <f t="shared" si="6"/>
        <v>10</v>
      </c>
      <c r="G239" s="77">
        <f t="shared" si="7"/>
        <v>2023</v>
      </c>
      <c r="H239" s="77">
        <f>SUM(Interesse_digital[[#This Row],[hotel ''ro'']],Interesse_digital[[#This Row],[pousada ''ro'']])</f>
        <v>10</v>
      </c>
      <c r="I239" s="77">
        <f>SUM(Interesse_digital[[#This Row],[hotel ''cf'']],Interesse_digital[[#This Row],[pousada ''cf'']])</f>
        <v>50</v>
      </c>
    </row>
    <row r="240" spans="1:9">
      <c r="A240" s="106">
        <v>45231</v>
      </c>
      <c r="B240" s="77">
        <v>4</v>
      </c>
      <c r="C240" s="77">
        <v>30</v>
      </c>
      <c r="D240" s="77">
        <v>8</v>
      </c>
      <c r="E240" s="77">
        <v>28</v>
      </c>
      <c r="F240" s="77">
        <f t="shared" si="6"/>
        <v>11</v>
      </c>
      <c r="G240" s="77">
        <f t="shared" si="7"/>
        <v>2023</v>
      </c>
      <c r="H240" s="77">
        <f>SUM(Interesse_digital[[#This Row],[hotel ''ro'']],Interesse_digital[[#This Row],[pousada ''ro'']])</f>
        <v>12</v>
      </c>
      <c r="I240" s="77">
        <f>SUM(Interesse_digital[[#This Row],[hotel ''cf'']],Interesse_digital[[#This Row],[pousada ''cf'']])</f>
        <v>58</v>
      </c>
    </row>
    <row r="241" spans="1:9">
      <c r="A241" s="106">
        <v>45261</v>
      </c>
      <c r="B241" s="77">
        <v>4</v>
      </c>
      <c r="C241" s="77">
        <v>34</v>
      </c>
      <c r="D241" s="77">
        <v>10</v>
      </c>
      <c r="E241" s="77">
        <v>33</v>
      </c>
      <c r="F241" s="77">
        <f t="shared" si="6"/>
        <v>12</v>
      </c>
      <c r="G241" s="77">
        <f t="shared" si="7"/>
        <v>2023</v>
      </c>
      <c r="H241" s="77">
        <f>SUM(Interesse_digital[[#This Row],[hotel ''ro'']],Interesse_digital[[#This Row],[pousada ''ro'']])</f>
        <v>14</v>
      </c>
      <c r="I241" s="77">
        <f>SUM(Interesse_digital[[#This Row],[hotel ''cf'']],Interesse_digital[[#This Row],[pousada ''cf'']])</f>
        <v>67</v>
      </c>
    </row>
    <row r="242" spans="1:9">
      <c r="A242" s="106">
        <v>45292</v>
      </c>
      <c r="B242" s="77">
        <v>6</v>
      </c>
      <c r="C242" s="77">
        <v>41</v>
      </c>
      <c r="D242" s="77">
        <v>12</v>
      </c>
      <c r="E242" s="77">
        <v>42</v>
      </c>
      <c r="F242" s="77">
        <f t="shared" si="6"/>
        <v>1</v>
      </c>
      <c r="G242" s="77">
        <f t="shared" si="7"/>
        <v>2024</v>
      </c>
      <c r="H242" s="77">
        <f>SUM(Interesse_digital[[#This Row],[hotel ''ro'']],Interesse_digital[[#This Row],[pousada ''ro'']])</f>
        <v>18</v>
      </c>
      <c r="I242" s="77">
        <f>SUM(Interesse_digital[[#This Row],[hotel ''cf'']],Interesse_digital[[#This Row],[pousada ''cf'']])</f>
        <v>83</v>
      </c>
    </row>
    <row r="243" spans="1:9">
      <c r="A243" s="106">
        <v>45323</v>
      </c>
      <c r="B243" s="77">
        <v>3</v>
      </c>
      <c r="C243" s="77">
        <v>24</v>
      </c>
      <c r="D243" s="77">
        <v>8</v>
      </c>
      <c r="E243" s="77">
        <v>23</v>
      </c>
      <c r="F243" s="77">
        <f t="shared" si="6"/>
        <v>2</v>
      </c>
      <c r="G243" s="77">
        <f t="shared" si="7"/>
        <v>2024</v>
      </c>
      <c r="H243" s="77">
        <f>SUM(Interesse_digital[[#This Row],[hotel ''ro'']],Interesse_digital[[#This Row],[pousada ''ro'']])</f>
        <v>11</v>
      </c>
      <c r="I243" s="77">
        <f>SUM(Interesse_digital[[#This Row],[hotel ''cf'']],Interesse_digital[[#This Row],[pousada ''cf'']])</f>
        <v>47</v>
      </c>
    </row>
    <row r="244" spans="1:9">
      <c r="A244" s="106">
        <v>45352</v>
      </c>
      <c r="B244" s="77">
        <v>3</v>
      </c>
      <c r="C244" s="77">
        <v>21</v>
      </c>
      <c r="D244" s="77">
        <v>7</v>
      </c>
      <c r="E244" s="77">
        <v>20</v>
      </c>
      <c r="F244" s="77">
        <f t="shared" si="6"/>
        <v>3</v>
      </c>
      <c r="G244" s="77">
        <f t="shared" si="7"/>
        <v>2024</v>
      </c>
      <c r="H244" s="77">
        <f>SUM(Interesse_digital[[#This Row],[hotel ''ro'']],Interesse_digital[[#This Row],[pousada ''ro'']])</f>
        <v>10</v>
      </c>
      <c r="I244" s="77">
        <f>SUM(Interesse_digital[[#This Row],[hotel ''cf'']],Interesse_digital[[#This Row],[pousada ''cf'']])</f>
        <v>41</v>
      </c>
    </row>
    <row r="245" spans="1:9">
      <c r="A245" s="106">
        <v>45383</v>
      </c>
      <c r="B245" s="77">
        <v>2</v>
      </c>
      <c r="C245" s="77">
        <v>15</v>
      </c>
      <c r="D245" s="77">
        <v>6</v>
      </c>
      <c r="E245" s="77">
        <v>15</v>
      </c>
      <c r="F245" s="77">
        <f t="shared" si="6"/>
        <v>4</v>
      </c>
      <c r="G245" s="77">
        <f t="shared" si="7"/>
        <v>2024</v>
      </c>
      <c r="H245" s="77">
        <f>SUM(Interesse_digital[[#This Row],[hotel ''ro'']],Interesse_digital[[#This Row],[pousada ''ro'']])</f>
        <v>8</v>
      </c>
      <c r="I245" s="77">
        <f>SUM(Interesse_digital[[#This Row],[hotel ''cf'']],Interesse_digital[[#This Row],[pousada ''cf'']])</f>
        <v>30</v>
      </c>
    </row>
    <row r="246" spans="1:9">
      <c r="A246" s="106">
        <v>45413</v>
      </c>
      <c r="B246" s="77">
        <v>3</v>
      </c>
      <c r="C246" s="77">
        <v>17</v>
      </c>
      <c r="D246" s="77">
        <v>6</v>
      </c>
      <c r="E246" s="77">
        <v>14</v>
      </c>
      <c r="F246" s="77">
        <f t="shared" si="6"/>
        <v>5</v>
      </c>
      <c r="G246" s="77">
        <f t="shared" si="7"/>
        <v>2024</v>
      </c>
      <c r="H246" s="77">
        <f>SUM(Interesse_digital[[#This Row],[hotel ''ro'']],Interesse_digital[[#This Row],[pousada ''ro'']])</f>
        <v>9</v>
      </c>
      <c r="I246" s="77">
        <f>SUM(Interesse_digital[[#This Row],[hotel ''cf'']],Interesse_digital[[#This Row],[pousada ''cf'']])</f>
        <v>31</v>
      </c>
    </row>
    <row r="247" spans="1:9">
      <c r="A247" s="106">
        <v>45444</v>
      </c>
      <c r="B247" s="77">
        <v>2</v>
      </c>
      <c r="C247" s="77">
        <v>14</v>
      </c>
      <c r="D247" s="77">
        <v>5</v>
      </c>
      <c r="E247" s="77">
        <v>13</v>
      </c>
      <c r="F247" s="77">
        <f t="shared" si="6"/>
        <v>6</v>
      </c>
      <c r="G247" s="77">
        <f t="shared" si="7"/>
        <v>2024</v>
      </c>
      <c r="H247" s="77">
        <f>SUM(Interesse_digital[[#This Row],[hotel ''ro'']],Interesse_digital[[#This Row],[pousada ''ro'']])</f>
        <v>7</v>
      </c>
      <c r="I247" s="77">
        <f>SUM(Interesse_digital[[#This Row],[hotel ''cf'']],Interesse_digital[[#This Row],[pousada ''cf'']])</f>
        <v>27</v>
      </c>
    </row>
    <row r="248" spans="1:9">
      <c r="A248" s="106">
        <v>45474</v>
      </c>
      <c r="B248" s="77">
        <v>3</v>
      </c>
      <c r="C248" s="77">
        <v>18</v>
      </c>
      <c r="D248" s="77">
        <v>5</v>
      </c>
      <c r="E248" s="77">
        <v>16</v>
      </c>
      <c r="F248" s="77">
        <f t="shared" si="6"/>
        <v>7</v>
      </c>
      <c r="G248" s="77">
        <f t="shared" si="7"/>
        <v>2024</v>
      </c>
      <c r="H248" s="77">
        <f>SUM(Interesse_digital[[#This Row],[hotel ''ro'']],Interesse_digital[[#This Row],[pousada ''ro'']])</f>
        <v>8</v>
      </c>
      <c r="I248" s="77">
        <f>SUM(Interesse_digital[[#This Row],[hotel ''cf'']],Interesse_digital[[#This Row],[pousada ''cf'']])</f>
        <v>34</v>
      </c>
    </row>
    <row r="249" spans="1:9">
      <c r="A249" s="106">
        <v>45505</v>
      </c>
      <c r="B249" s="77">
        <v>3</v>
      </c>
      <c r="C249" s="77">
        <v>17</v>
      </c>
      <c r="D249" s="77">
        <v>5</v>
      </c>
      <c r="E249" s="77">
        <v>16</v>
      </c>
      <c r="F249" s="77">
        <f t="shared" si="6"/>
        <v>8</v>
      </c>
      <c r="G249" s="77">
        <f t="shared" si="7"/>
        <v>2024</v>
      </c>
      <c r="H249" s="77">
        <f>SUM(Interesse_digital[[#This Row],[hotel ''ro'']],Interesse_digital[[#This Row],[pousada ''ro'']])</f>
        <v>8</v>
      </c>
      <c r="I249" s="77">
        <f>SUM(Interesse_digital[[#This Row],[hotel ''cf'']],Interesse_digital[[#This Row],[pousada ''cf'']])</f>
        <v>33</v>
      </c>
    </row>
    <row r="250" spans="1:9">
      <c r="A250" s="106">
        <v>45536</v>
      </c>
      <c r="B250" s="77">
        <v>3</v>
      </c>
      <c r="C250" s="77">
        <v>22</v>
      </c>
      <c r="D250" s="77">
        <v>6</v>
      </c>
      <c r="E250" s="77">
        <v>21</v>
      </c>
      <c r="F250" s="77">
        <f t="shared" si="6"/>
        <v>9</v>
      </c>
      <c r="G250" s="77">
        <f t="shared" si="7"/>
        <v>2024</v>
      </c>
      <c r="H250" s="77">
        <f>SUM(Interesse_digital[[#This Row],[hotel ''ro'']],Interesse_digital[[#This Row],[pousada ''ro'']])</f>
        <v>9</v>
      </c>
      <c r="I250" s="77">
        <f>SUM(Interesse_digital[[#This Row],[hotel ''cf'']],Interesse_digital[[#This Row],[pousada ''cf'']])</f>
        <v>43</v>
      </c>
    </row>
    <row r="251" spans="1:9">
      <c r="A251" s="106">
        <v>45566</v>
      </c>
      <c r="B251" s="77">
        <v>3</v>
      </c>
      <c r="C251" s="77">
        <v>23</v>
      </c>
      <c r="D251" s="77">
        <v>6</v>
      </c>
      <c r="E251" s="77">
        <v>21</v>
      </c>
      <c r="F251" s="77">
        <f t="shared" si="6"/>
        <v>10</v>
      </c>
      <c r="G251" s="77">
        <f t="shared" si="7"/>
        <v>2024</v>
      </c>
      <c r="H251" s="77">
        <f>SUM(Interesse_digital[[#This Row],[hotel ''ro'']],Interesse_digital[[#This Row],[pousada ''ro'']])</f>
        <v>9</v>
      </c>
      <c r="I251" s="77">
        <f>SUM(Interesse_digital[[#This Row],[hotel ''cf'']],Interesse_digital[[#This Row],[pousada ''cf'']])</f>
        <v>44</v>
      </c>
    </row>
    <row r="252" spans="1:9">
      <c r="A252" s="106">
        <v>45597</v>
      </c>
      <c r="B252" s="77">
        <v>3</v>
      </c>
      <c r="C252" s="77">
        <v>22</v>
      </c>
      <c r="D252" s="77">
        <v>7</v>
      </c>
      <c r="E252" s="77">
        <v>22</v>
      </c>
      <c r="F252" s="77">
        <f t="shared" si="6"/>
        <v>11</v>
      </c>
      <c r="G252" s="77">
        <f t="shared" si="7"/>
        <v>2024</v>
      </c>
      <c r="H252" s="77">
        <f>SUM(Interesse_digital[[#This Row],[hotel ''ro'']],Interesse_digital[[#This Row],[pousada ''ro'']])</f>
        <v>10</v>
      </c>
      <c r="I252" s="77">
        <f>SUM(Interesse_digital[[#This Row],[hotel ''cf'']],Interesse_digital[[#This Row],[pousada ''cf'']])</f>
        <v>44</v>
      </c>
    </row>
    <row r="253" spans="1:9">
      <c r="A253" s="106">
        <v>45627</v>
      </c>
      <c r="B253" s="77">
        <v>4</v>
      </c>
      <c r="C253" s="77">
        <v>25</v>
      </c>
      <c r="D253" s="77">
        <v>7</v>
      </c>
      <c r="E253" s="77">
        <v>25</v>
      </c>
      <c r="F253" s="77">
        <f t="shared" si="6"/>
        <v>12</v>
      </c>
      <c r="G253" s="77">
        <f t="shared" si="7"/>
        <v>2024</v>
      </c>
      <c r="H253" s="77">
        <f>SUM(Interesse_digital[[#This Row],[hotel ''ro'']],Interesse_digital[[#This Row],[pousada ''ro'']])</f>
        <v>11</v>
      </c>
      <c r="I253" s="77">
        <f>SUM(Interesse_digital[[#This Row],[hotel ''cf'']],Interesse_digital[[#This Row],[pousada ''cf'']])</f>
        <v>50</v>
      </c>
    </row>
    <row r="254" spans="1:9">
      <c r="A254" s="106">
        <v>45658</v>
      </c>
      <c r="B254" s="77">
        <v>4</v>
      </c>
      <c r="C254" s="77">
        <v>35</v>
      </c>
      <c r="D254" s="77">
        <v>10</v>
      </c>
      <c r="E254" s="77">
        <v>35</v>
      </c>
      <c r="F254" s="77">
        <f t="shared" si="6"/>
        <v>1</v>
      </c>
      <c r="G254" s="77">
        <f t="shared" si="7"/>
        <v>2025</v>
      </c>
      <c r="H254" s="77">
        <f>SUM(Interesse_digital[[#This Row],[hotel ''ro'']],Interesse_digital[[#This Row],[pousada ''ro'']])</f>
        <v>14</v>
      </c>
      <c r="I254" s="77">
        <f>SUM(Interesse_digital[[#This Row],[hotel ''cf'']],Interesse_digital[[#This Row],[pousada ''cf'']])</f>
        <v>70</v>
      </c>
    </row>
    <row r="255" spans="1:9">
      <c r="A255" s="106">
        <v>45689</v>
      </c>
      <c r="B255" s="77">
        <v>2</v>
      </c>
      <c r="C255" s="77">
        <v>22</v>
      </c>
      <c r="D255" s="77">
        <v>6</v>
      </c>
      <c r="E255" s="77">
        <v>19</v>
      </c>
      <c r="F255" s="77">
        <f t="shared" si="6"/>
        <v>2</v>
      </c>
      <c r="G255" s="77">
        <f t="shared" si="7"/>
        <v>2025</v>
      </c>
      <c r="H255" s="77">
        <f>SUM(Interesse_digital[[#This Row],[hotel ''ro'']],Interesse_digital[[#This Row],[pousada ''ro'']])</f>
        <v>8</v>
      </c>
      <c r="I255" s="77">
        <f>SUM(Interesse_digital[[#This Row],[hotel ''cf'']],Interesse_digital[[#This Row],[pousada ''cf'']])</f>
        <v>41</v>
      </c>
    </row>
    <row r="256" spans="1:9">
      <c r="A256" s="106">
        <v>45717</v>
      </c>
      <c r="B256" s="77">
        <v>3</v>
      </c>
      <c r="C256" s="77">
        <v>18</v>
      </c>
      <c r="D256" s="77">
        <v>5</v>
      </c>
      <c r="E256" s="77">
        <v>18</v>
      </c>
      <c r="F256" s="77">
        <f t="shared" si="6"/>
        <v>3</v>
      </c>
      <c r="G256" s="77">
        <f t="shared" si="7"/>
        <v>2025</v>
      </c>
      <c r="H256" s="77">
        <f>SUM(Interesse_digital[[#This Row],[hotel ''ro'']],Interesse_digital[[#This Row],[pousada ''ro'']])</f>
        <v>8</v>
      </c>
      <c r="I256" s="77">
        <f>SUM(Interesse_digital[[#This Row],[hotel ''cf'']],Interesse_digital[[#This Row],[pousada ''cf'']])</f>
        <v>36</v>
      </c>
    </row>
    <row r="257" spans="1:9">
      <c r="A257" s="106">
        <v>45748</v>
      </c>
      <c r="B257" s="77">
        <v>2</v>
      </c>
      <c r="C257" s="77">
        <v>14</v>
      </c>
      <c r="D257" s="77">
        <v>4</v>
      </c>
      <c r="E257" s="77">
        <v>12</v>
      </c>
      <c r="F257" s="77">
        <f t="shared" si="6"/>
        <v>4</v>
      </c>
      <c r="G257" s="77">
        <f t="shared" si="7"/>
        <v>2025</v>
      </c>
      <c r="H257" s="77">
        <f>SUM(Interesse_digital[[#This Row],[hotel ''ro'']],Interesse_digital[[#This Row],[pousada ''ro'']])</f>
        <v>6</v>
      </c>
      <c r="I257" s="77">
        <f>SUM(Interesse_digital[[#This Row],[hotel ''cf'']],Interesse_digital[[#This Row],[pousada ''cf'']])</f>
        <v>26</v>
      </c>
    </row>
    <row r="258" spans="1:9">
      <c r="A258" s="106">
        <v>45778</v>
      </c>
      <c r="B258" s="77">
        <v>2</v>
      </c>
      <c r="C258" s="77">
        <v>10</v>
      </c>
      <c r="D258" s="77">
        <v>4</v>
      </c>
      <c r="E258" s="77">
        <v>9</v>
      </c>
      <c r="F258" s="77">
        <f t="shared" ref="F258:F270" si="8">MONTH(A258)</f>
        <v>5</v>
      </c>
      <c r="G258" s="77">
        <f t="shared" ref="G258:G270" si="9">YEAR(A258)</f>
        <v>2025</v>
      </c>
      <c r="H258" s="77">
        <f>SUM(Interesse_digital[[#This Row],[hotel ''ro'']],Interesse_digital[[#This Row],[pousada ''ro'']])</f>
        <v>6</v>
      </c>
      <c r="I258" s="77">
        <f>SUM(Interesse_digital[[#This Row],[hotel ''cf'']],Interesse_digital[[#This Row],[pousada ''cf'']])</f>
        <v>19</v>
      </c>
    </row>
    <row r="259" spans="1:9">
      <c r="A259" s="106">
        <v>45809</v>
      </c>
      <c r="B259" s="77">
        <v>2</v>
      </c>
      <c r="C259" s="77">
        <v>11</v>
      </c>
      <c r="D259" s="77">
        <v>4</v>
      </c>
      <c r="E259" s="77">
        <v>9</v>
      </c>
      <c r="F259" s="77">
        <f t="shared" si="8"/>
        <v>6</v>
      </c>
      <c r="G259" s="77">
        <f t="shared" si="9"/>
        <v>2025</v>
      </c>
      <c r="H259" s="77">
        <f>SUM(Interesse_digital[[#This Row],[hotel ''ro'']],Interesse_digital[[#This Row],[pousada ''ro'']])</f>
        <v>6</v>
      </c>
      <c r="I259" s="77">
        <f>SUM(Interesse_digital[[#This Row],[hotel ''cf'']],Interesse_digital[[#This Row],[pousada ''cf'']])</f>
        <v>20</v>
      </c>
    </row>
    <row r="260" spans="1:9">
      <c r="A260" s="106">
        <v>45839</v>
      </c>
      <c r="B260" s="77">
        <v>3</v>
      </c>
      <c r="C260" s="77">
        <v>13</v>
      </c>
      <c r="D260" s="77">
        <v>5</v>
      </c>
      <c r="E260" s="77">
        <v>11</v>
      </c>
      <c r="F260" s="77">
        <f t="shared" si="8"/>
        <v>7</v>
      </c>
      <c r="G260" s="77">
        <f t="shared" si="9"/>
        <v>2025</v>
      </c>
      <c r="H260" s="77">
        <f>SUM(Interesse_digital[[#This Row],[hotel ''ro'']],Interesse_digital[[#This Row],[pousada ''ro'']])</f>
        <v>8</v>
      </c>
      <c r="I260" s="77">
        <f>SUM(Interesse_digital[[#This Row],[hotel ''cf'']],Interesse_digital[[#This Row],[pousada ''cf'']])</f>
        <v>24</v>
      </c>
    </row>
    <row r="261" spans="1:9">
      <c r="A261" s="106">
        <v>45870</v>
      </c>
      <c r="B261" s="77">
        <v>3</v>
      </c>
      <c r="C261" s="77">
        <v>16</v>
      </c>
      <c r="D261" s="77">
        <v>3</v>
      </c>
      <c r="E261" s="77">
        <v>12</v>
      </c>
      <c r="F261" s="77">
        <f t="shared" si="8"/>
        <v>8</v>
      </c>
      <c r="G261" s="77">
        <f t="shared" si="9"/>
        <v>2025</v>
      </c>
      <c r="H261" s="77">
        <f>SUM(Interesse_digital[[#This Row],[hotel ''ro'']],Interesse_digital[[#This Row],[pousada ''ro'']])</f>
        <v>6</v>
      </c>
      <c r="I261" s="77">
        <f>SUM(Interesse_digital[[#This Row],[hotel ''cf'']],Interesse_digital[[#This Row],[pousada ''cf'']])</f>
        <v>28</v>
      </c>
    </row>
    <row r="262" spans="1:9">
      <c r="A262" s="106">
        <v>45901</v>
      </c>
      <c r="B262" s="77">
        <v>4</v>
      </c>
      <c r="C262" s="77">
        <v>20</v>
      </c>
      <c r="D262" s="77">
        <v>5</v>
      </c>
      <c r="E262" s="77">
        <v>15</v>
      </c>
      <c r="F262" s="77">
        <f t="shared" si="8"/>
        <v>9</v>
      </c>
      <c r="G262" s="77">
        <f t="shared" si="9"/>
        <v>2025</v>
      </c>
      <c r="H262" s="77">
        <f>SUM(Interesse_digital[[#This Row],[hotel ''ro'']],Interesse_digital[[#This Row],[pousada ''ro'']])</f>
        <v>9</v>
      </c>
      <c r="I262" s="77">
        <f>SUM(Interesse_digital[[#This Row],[hotel ''cf'']],Interesse_digital[[#This Row],[pousada ''cf'']])</f>
        <v>35</v>
      </c>
    </row>
    <row r="263" spans="1:9">
      <c r="A263" s="106">
        <v>45931</v>
      </c>
      <c r="B263" s="77">
        <v>4</v>
      </c>
      <c r="C263" s="77">
        <v>21</v>
      </c>
      <c r="D263" s="77">
        <v>5</v>
      </c>
      <c r="E263" s="77">
        <v>18</v>
      </c>
      <c r="F263" s="77">
        <f t="shared" si="8"/>
        <v>10</v>
      </c>
      <c r="G263" s="77">
        <f t="shared" si="9"/>
        <v>2025</v>
      </c>
      <c r="H263" s="77">
        <f>SUM(Interesse_digital[[#This Row],[hotel ''ro'']],Interesse_digital[[#This Row],[pousada ''ro'']])</f>
        <v>9</v>
      </c>
      <c r="I263" s="77">
        <f>SUM(Interesse_digital[[#This Row],[hotel ''cf'']],Interesse_digital[[#This Row],[pousada ''cf'']])</f>
        <v>39</v>
      </c>
    </row>
    <row r="264" spans="1:9">
      <c r="A264" s="106">
        <v>45962</v>
      </c>
      <c r="B264" s="77">
        <v>5</v>
      </c>
      <c r="C264" s="77">
        <v>21</v>
      </c>
      <c r="D264" s="77">
        <v>6</v>
      </c>
      <c r="E264" s="77">
        <v>19</v>
      </c>
      <c r="F264" s="77">
        <f t="shared" si="8"/>
        <v>11</v>
      </c>
      <c r="G264" s="77">
        <f t="shared" si="9"/>
        <v>2025</v>
      </c>
      <c r="H264" s="77">
        <f>SUM(Interesse_digital[[#This Row],[hotel ''ro'']],Interesse_digital[[#This Row],[pousada ''ro'']])</f>
        <v>11</v>
      </c>
      <c r="I264" s="77">
        <f>SUM(Interesse_digital[[#This Row],[hotel ''cf'']],Interesse_digital[[#This Row],[pousada ''cf'']])</f>
        <v>40</v>
      </c>
    </row>
    <row r="265" spans="1:9">
      <c r="A265" s="106">
        <v>45992</v>
      </c>
      <c r="B265" s="77">
        <v>4</v>
      </c>
      <c r="C265" s="77">
        <v>28</v>
      </c>
      <c r="D265" s="77">
        <v>8</v>
      </c>
      <c r="E265" s="77">
        <v>23</v>
      </c>
      <c r="F265" s="77">
        <f t="shared" si="8"/>
        <v>12</v>
      </c>
      <c r="G265" s="77">
        <f t="shared" si="9"/>
        <v>2025</v>
      </c>
      <c r="H265" s="77">
        <f>SUM(Interesse_digital[[#This Row],[hotel ''ro'']],Interesse_digital[[#This Row],[pousada ''ro'']])</f>
        <v>12</v>
      </c>
      <c r="I265" s="77">
        <f>SUM(Interesse_digital[[#This Row],[hotel ''cf'']],Interesse_digital[[#This Row],[pousada ''cf'']])</f>
        <v>51</v>
      </c>
    </row>
    <row r="266" spans="1:9">
      <c r="A266" s="106">
        <v>46023</v>
      </c>
      <c r="B266" s="77">
        <v>5</v>
      </c>
      <c r="C266" s="77">
        <v>33</v>
      </c>
      <c r="D266" s="77">
        <v>9</v>
      </c>
      <c r="E266" s="77">
        <v>30</v>
      </c>
      <c r="F266" s="77">
        <f t="shared" si="8"/>
        <v>1</v>
      </c>
      <c r="G266" s="77">
        <f t="shared" si="9"/>
        <v>2026</v>
      </c>
      <c r="H266" s="77">
        <f>SUM(Interesse_digital[[#This Row],[hotel ''ro'']],Interesse_digital[[#This Row],[pousada ''ro'']])</f>
        <v>14</v>
      </c>
      <c r="I266" s="77">
        <f>SUM(Interesse_digital[[#This Row],[hotel ''cf'']],Interesse_digital[[#This Row],[pousada ''cf'']])</f>
        <v>63</v>
      </c>
    </row>
    <row r="267" spans="1:9">
      <c r="A267" s="106">
        <v>46054</v>
      </c>
      <c r="B267" s="77">
        <v>3</v>
      </c>
      <c r="C267" s="77">
        <v>19</v>
      </c>
      <c r="D267" s="77">
        <v>5</v>
      </c>
      <c r="E267" s="77">
        <v>16</v>
      </c>
      <c r="F267" s="77">
        <f t="shared" si="8"/>
        <v>2</v>
      </c>
      <c r="G267" s="77">
        <f t="shared" si="9"/>
        <v>2026</v>
      </c>
      <c r="H267" s="77">
        <f>SUM(Interesse_digital[[#This Row],[hotel ''ro'']],Interesse_digital[[#This Row],[pousada ''ro'']])</f>
        <v>8</v>
      </c>
      <c r="I267" s="77">
        <f>SUM(Interesse_digital[[#This Row],[hotel ''cf'']],Interesse_digital[[#This Row],[pousada ''cf'']])</f>
        <v>35</v>
      </c>
    </row>
    <row r="268" spans="1:9">
      <c r="A268" s="106">
        <v>46082</v>
      </c>
      <c r="B268" s="77">
        <v>4</v>
      </c>
      <c r="C268" s="77">
        <v>20</v>
      </c>
      <c r="D268" s="77">
        <v>5</v>
      </c>
      <c r="E268" s="77">
        <v>17</v>
      </c>
      <c r="F268" s="77">
        <f t="shared" si="8"/>
        <v>3</v>
      </c>
      <c r="G268" s="77">
        <f t="shared" si="9"/>
        <v>2026</v>
      </c>
      <c r="H268" s="77">
        <f>SUM(Interesse_digital[[#This Row],[hotel ''ro'']],Interesse_digital[[#This Row],[pousada ''ro'']])</f>
        <v>9</v>
      </c>
      <c r="I268" s="77">
        <f>SUM(Interesse_digital[[#This Row],[hotel ''cf'']],Interesse_digital[[#This Row],[pousada ''cf'']])</f>
        <v>37</v>
      </c>
    </row>
    <row r="269" spans="1:9">
      <c r="A269" s="106">
        <v>46113</v>
      </c>
      <c r="B269" s="77">
        <v>4</v>
      </c>
      <c r="C269" s="77">
        <v>19</v>
      </c>
      <c r="D269" s="77">
        <v>6</v>
      </c>
      <c r="E269" s="77">
        <v>18</v>
      </c>
      <c r="F269" s="77">
        <f t="shared" si="8"/>
        <v>4</v>
      </c>
      <c r="G269" s="77">
        <f t="shared" si="9"/>
        <v>2026</v>
      </c>
      <c r="H269" s="77">
        <f>SUM(Interesse_digital[[#This Row],[hotel ''ro'']],Interesse_digital[[#This Row],[pousada ''ro'']])</f>
        <v>10</v>
      </c>
      <c r="I269" s="77">
        <f>SUM(Interesse_digital[[#This Row],[hotel ''cf'']],Interesse_digital[[#This Row],[pousada ''cf'']])</f>
        <v>37</v>
      </c>
    </row>
    <row r="270" spans="1:9">
      <c r="A270" s="106">
        <v>46143</v>
      </c>
      <c r="B270" s="77">
        <v>3</v>
      </c>
      <c r="C270" s="77">
        <v>15</v>
      </c>
      <c r="D270" s="77">
        <v>4</v>
      </c>
      <c r="E270" s="77">
        <v>14</v>
      </c>
      <c r="F270" s="77">
        <f t="shared" si="8"/>
        <v>5</v>
      </c>
      <c r="G270" s="77">
        <f t="shared" si="9"/>
        <v>2026</v>
      </c>
      <c r="H270" s="77">
        <f>SUM(Interesse_digital[[#This Row],[hotel ''ro'']],Interesse_digital[[#This Row],[pousada ''ro'']])</f>
        <v>7</v>
      </c>
      <c r="I270" s="77">
        <f>SUM(Interesse_digital[[#This Row],[hotel ''cf'']],Interesse_digital[[#This Row],[pousada ''cf'']])</f>
        <v>29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Roman,Regular"&amp;12Página &amp;P</oddFooter>
  </headerFooter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61911-9F04-41A7-9F13-11161D164B89}">
  <dimension ref="A1:H30"/>
  <sheetViews>
    <sheetView topLeftCell="B1" workbookViewId="0">
      <selection activeCell="A30" sqref="A30"/>
    </sheetView>
  </sheetViews>
  <sheetFormatPr defaultRowHeight="12.75"/>
  <cols>
    <col min="1" max="1" width="10.85546875" style="74" customWidth="1"/>
    <col min="2" max="2" width="15.42578125" style="74" customWidth="1"/>
    <col min="3" max="3" width="21.5703125" style="74" customWidth="1"/>
    <col min="4" max="4" width="21.7109375" style="74" customWidth="1"/>
    <col min="5" max="5" width="9.140625" style="74"/>
    <col min="6" max="6" width="14.42578125" style="74" customWidth="1"/>
    <col min="7" max="7" width="24.42578125" style="74" customWidth="1"/>
    <col min="8" max="8" width="22.85546875" style="74" customWidth="1"/>
    <col min="9" max="16384" width="9.140625" style="74"/>
  </cols>
  <sheetData>
    <row r="1" spans="1:8">
      <c r="A1" s="73"/>
      <c r="B1" s="73"/>
      <c r="C1" s="73"/>
      <c r="D1" s="73"/>
      <c r="E1" s="73"/>
    </row>
    <row r="2" spans="1:8">
      <c r="A2" s="73"/>
      <c r="B2" s="208" t="s">
        <v>153</v>
      </c>
      <c r="C2" s="208"/>
      <c r="D2" s="208"/>
      <c r="E2" s="73"/>
      <c r="F2" s="209" t="s">
        <v>154</v>
      </c>
      <c r="G2" s="209"/>
      <c r="H2" s="209"/>
    </row>
    <row r="3" spans="1:8">
      <c r="A3" s="73"/>
      <c r="B3" s="112" t="s">
        <v>121</v>
      </c>
      <c r="C3" s="108" t="s">
        <v>122</v>
      </c>
      <c r="D3" s="109" t="s">
        <v>123</v>
      </c>
      <c r="E3" s="73"/>
      <c r="F3" s="3" t="s">
        <v>121</v>
      </c>
      <c r="G3" s="11" t="s">
        <v>122</v>
      </c>
      <c r="H3" s="12" t="s">
        <v>123</v>
      </c>
    </row>
    <row r="4" spans="1:8">
      <c r="A4" s="73"/>
      <c r="B4" s="110">
        <v>2010</v>
      </c>
      <c r="C4" s="109">
        <v>4.8828494644006213</v>
      </c>
      <c r="D4" s="109">
        <v>6.5565143615050445</v>
      </c>
      <c r="E4" s="73"/>
      <c r="F4" s="2">
        <v>2010</v>
      </c>
      <c r="G4" s="7" t="s">
        <v>155</v>
      </c>
      <c r="H4" s="16" t="s">
        <v>155</v>
      </c>
    </row>
    <row r="5" spans="1:8">
      <c r="A5" s="73"/>
      <c r="B5" s="111">
        <v>2011</v>
      </c>
      <c r="C5" s="109">
        <v>4.3786939599250401</v>
      </c>
      <c r="D5" s="109">
        <v>7.5852488664063111</v>
      </c>
      <c r="E5" s="73"/>
      <c r="F5" s="2">
        <v>2011</v>
      </c>
      <c r="G5" s="8">
        <v>-5.8</v>
      </c>
      <c r="H5" s="17">
        <v>18.5</v>
      </c>
    </row>
    <row r="6" spans="1:8">
      <c r="A6" s="73"/>
      <c r="B6" s="110">
        <v>2012</v>
      </c>
      <c r="C6" s="109">
        <v>4.3914788089620611</v>
      </c>
      <c r="D6" s="109">
        <v>7.7520967527214264</v>
      </c>
      <c r="E6" s="73"/>
      <c r="F6" s="2">
        <v>2012</v>
      </c>
      <c r="G6" s="9">
        <v>4.9000000000000004</v>
      </c>
      <c r="H6" s="17">
        <v>4.5999999999999996</v>
      </c>
    </row>
    <row r="7" spans="1:8">
      <c r="A7" s="73"/>
      <c r="B7" s="111">
        <v>2013</v>
      </c>
      <c r="C7" s="109">
        <v>5.6384824380503451</v>
      </c>
      <c r="D7" s="109">
        <v>8.3116493194555652</v>
      </c>
      <c r="E7" s="73"/>
      <c r="F7" s="2">
        <v>2013</v>
      </c>
      <c r="G7" s="9">
        <v>35.1</v>
      </c>
      <c r="H7" s="17">
        <v>9.6999999999999993</v>
      </c>
    </row>
    <row r="8" spans="1:8">
      <c r="A8" s="73"/>
      <c r="B8" s="110">
        <v>2014</v>
      </c>
      <c r="C8" s="109">
        <v>4.8202813534532245</v>
      </c>
      <c r="D8" s="109">
        <v>8.4255643953850221</v>
      </c>
      <c r="E8" s="73"/>
      <c r="F8" s="2">
        <v>2014</v>
      </c>
      <c r="G8" s="8">
        <v>-11</v>
      </c>
      <c r="H8" s="17">
        <v>3.7</v>
      </c>
    </row>
    <row r="9" spans="1:8">
      <c r="A9" s="73"/>
      <c r="B9" s="111">
        <v>2015</v>
      </c>
      <c r="C9" s="109">
        <v>4.3568527611080805</v>
      </c>
      <c r="D9" s="109">
        <v>8.8983557906325537</v>
      </c>
      <c r="E9" s="73"/>
      <c r="F9" s="2">
        <v>2015</v>
      </c>
      <c r="G9" s="8">
        <v>-6.2</v>
      </c>
      <c r="H9" s="17">
        <v>8</v>
      </c>
    </row>
    <row r="10" spans="1:8">
      <c r="A10" s="73"/>
      <c r="B10" s="110">
        <v>2016</v>
      </c>
      <c r="C10" s="109">
        <v>2.8252309223720227</v>
      </c>
      <c r="D10" s="109">
        <v>9.4025382636927102</v>
      </c>
      <c r="E10" s="73"/>
      <c r="F10" s="2">
        <v>2016</v>
      </c>
      <c r="G10" s="8">
        <v>-32.9</v>
      </c>
      <c r="H10" s="17">
        <v>8</v>
      </c>
    </row>
    <row r="11" spans="1:8">
      <c r="A11" s="73"/>
      <c r="B11" s="111">
        <v>2017</v>
      </c>
      <c r="C11" s="109">
        <v>2.3739166790677242</v>
      </c>
      <c r="D11" s="109">
        <v>8.9361897334740128</v>
      </c>
      <c r="E11" s="73"/>
      <c r="F11" s="2">
        <v>2017</v>
      </c>
      <c r="G11" s="8">
        <v>-13.2</v>
      </c>
      <c r="H11" s="18">
        <v>-2.9</v>
      </c>
    </row>
    <row r="12" spans="1:8">
      <c r="A12" s="73"/>
      <c r="B12" s="110">
        <v>2018</v>
      </c>
      <c r="C12" s="109">
        <v>2.1302974881669168</v>
      </c>
      <c r="D12" s="109">
        <v>8.3315358067299385</v>
      </c>
      <c r="E12" s="73"/>
      <c r="F12" s="2">
        <v>2018</v>
      </c>
      <c r="G12" s="8">
        <v>-7.2</v>
      </c>
      <c r="H12" s="18">
        <v>-4.8</v>
      </c>
    </row>
    <row r="13" spans="1:8">
      <c r="A13" s="73"/>
      <c r="B13" s="111">
        <v>2019</v>
      </c>
      <c r="C13" s="109">
        <v>2.1437009703067549</v>
      </c>
      <c r="D13" s="109">
        <v>8.1101979895340683</v>
      </c>
      <c r="E13" s="73"/>
      <c r="F13" s="2">
        <v>2019</v>
      </c>
      <c r="G13" s="9">
        <v>3.9</v>
      </c>
      <c r="H13" s="18">
        <v>-2.7</v>
      </c>
    </row>
    <row r="14" spans="1:8">
      <c r="A14" s="73"/>
      <c r="B14" s="110">
        <v>2020</v>
      </c>
      <c r="C14" s="109">
        <v>1.9975127744163721</v>
      </c>
      <c r="D14" s="109">
        <v>8.1000611664807689</v>
      </c>
      <c r="E14" s="73"/>
      <c r="F14" s="2">
        <v>2020</v>
      </c>
      <c r="G14" s="8">
        <v>-4</v>
      </c>
      <c r="H14" s="18">
        <v>-0.2</v>
      </c>
    </row>
    <row r="15" spans="1:8">
      <c r="A15" s="73"/>
      <c r="B15" s="111">
        <v>2021</v>
      </c>
      <c r="C15" s="109">
        <v>2.1751531069586094</v>
      </c>
      <c r="D15" s="109">
        <v>7.9009057245571483</v>
      </c>
      <c r="E15" s="73"/>
      <c r="F15" s="2">
        <v>2021</v>
      </c>
      <c r="G15" s="9">
        <v>11.9</v>
      </c>
      <c r="H15" s="18">
        <v>-2.5</v>
      </c>
    </row>
    <row r="16" spans="1:8">
      <c r="A16" s="73"/>
      <c r="B16" s="73"/>
      <c r="C16" s="73"/>
      <c r="D16" s="73"/>
      <c r="E16" s="73"/>
    </row>
    <row r="23" spans="2:4">
      <c r="B23" s="13"/>
      <c r="C23" s="14"/>
      <c r="D23" s="15"/>
    </row>
    <row r="24" spans="2:4">
      <c r="B24" s="13"/>
      <c r="C24" s="14"/>
      <c r="D24" s="15"/>
    </row>
    <row r="25" spans="2:4">
      <c r="B25" s="13"/>
      <c r="C25" s="14"/>
      <c r="D25" s="15"/>
    </row>
    <row r="26" spans="2:4">
      <c r="B26" s="13"/>
      <c r="C26" s="14"/>
      <c r="D26" s="15"/>
    </row>
    <row r="27" spans="2:4">
      <c r="B27" s="13"/>
      <c r="C27" s="14"/>
      <c r="D27" s="15"/>
    </row>
    <row r="28" spans="2:4">
      <c r="B28" s="13"/>
      <c r="C28" s="14"/>
      <c r="D28" s="15"/>
    </row>
    <row r="29" spans="2:4">
      <c r="B29" s="13"/>
      <c r="C29" s="14"/>
      <c r="D29" s="15"/>
    </row>
    <row r="30" spans="2:4">
      <c r="B30" s="13"/>
      <c r="C30" s="14"/>
      <c r="D30" s="15"/>
    </row>
  </sheetData>
  <mergeCells count="2">
    <mergeCell ref="B2:D2"/>
    <mergeCell ref="F2:H2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CE24-528A-4BE8-B264-30EAFF7E1133}">
  <dimension ref="B1:L15"/>
  <sheetViews>
    <sheetView workbookViewId="0">
      <selection activeCell="G25" sqref="G25"/>
    </sheetView>
  </sheetViews>
  <sheetFormatPr defaultRowHeight="33.75" customHeight="1"/>
  <cols>
    <col min="1" max="1" width="2" customWidth="1"/>
    <col min="2" max="2" width="18.7109375" customWidth="1"/>
    <col min="3" max="3" width="18.5703125" customWidth="1"/>
    <col min="4" max="4" width="18.7109375" customWidth="1"/>
    <col min="5" max="5" width="1.5703125" customWidth="1"/>
    <col min="6" max="6" width="14.5703125" customWidth="1"/>
    <col min="7" max="7" width="22.42578125" customWidth="1"/>
    <col min="8" max="8" width="19.42578125" customWidth="1"/>
    <col min="9" max="9" width="1.140625" customWidth="1"/>
    <col min="10" max="10" width="15.7109375" customWidth="1"/>
    <col min="11" max="11" width="18" customWidth="1"/>
    <col min="12" max="12" width="17" customWidth="1"/>
  </cols>
  <sheetData>
    <row r="1" spans="2:12" ht="15">
      <c r="B1" s="210" t="s">
        <v>156</v>
      </c>
      <c r="C1" s="211"/>
      <c r="D1" s="211"/>
      <c r="F1" s="210" t="s">
        <v>157</v>
      </c>
      <c r="G1" s="211"/>
      <c r="H1" s="211"/>
      <c r="J1" s="212" t="s">
        <v>158</v>
      </c>
      <c r="K1" s="212"/>
      <c r="L1" s="212"/>
    </row>
    <row r="2" spans="2:12" ht="15">
      <c r="B2" s="3" t="s">
        <v>121</v>
      </c>
      <c r="C2" s="11" t="s">
        <v>122</v>
      </c>
      <c r="D2" s="19" t="s">
        <v>123</v>
      </c>
      <c r="F2" s="3" t="s">
        <v>121</v>
      </c>
      <c r="G2" s="11" t="s">
        <v>122</v>
      </c>
      <c r="H2" s="19" t="s">
        <v>123</v>
      </c>
      <c r="J2" s="3" t="s">
        <v>121</v>
      </c>
      <c r="K2" s="11" t="s">
        <v>122</v>
      </c>
      <c r="L2" s="19" t="s">
        <v>123</v>
      </c>
    </row>
    <row r="3" spans="2:12" ht="15">
      <c r="B3" s="13">
        <v>2010</v>
      </c>
      <c r="C3" s="6">
        <v>283.26204625458951</v>
      </c>
      <c r="D3" s="10">
        <v>304.40806112969653</v>
      </c>
      <c r="F3" s="13">
        <v>2010</v>
      </c>
      <c r="G3" s="20">
        <f>('Empregos Turismo'!C4)/(Tabela27[[#This Row],[Rio das Ostras]])</f>
        <v>1.723792343154941E-2</v>
      </c>
      <c r="H3" s="21">
        <f>('Empregos Turismo'!D4)/(Tabela27[[#This Row],[Cabo Frio]])</f>
        <v>2.1538570092963363E-2</v>
      </c>
      <c r="J3" s="13">
        <v>2010</v>
      </c>
      <c r="K3" s="7" t="s">
        <v>155</v>
      </c>
      <c r="L3" s="16" t="s">
        <v>155</v>
      </c>
    </row>
    <row r="4" spans="2:12" ht="15">
      <c r="B4" s="13">
        <v>2011</v>
      </c>
      <c r="C4" s="6">
        <v>292.65172264667723</v>
      </c>
      <c r="D4" s="10">
        <v>327.0463659476319</v>
      </c>
      <c r="F4" s="13">
        <v>2011</v>
      </c>
      <c r="G4" s="20">
        <f>('Empregos Turismo'!C5)/(Tabela27[[#This Row],[Rio das Ostras]])</f>
        <v>1.496213287359153E-2</v>
      </c>
      <c r="H4" s="21">
        <f>('Empregos Turismo'!D5)/(Tabela27[[#This Row],[Cabo Frio]])</f>
        <v>2.3193191107406756E-2</v>
      </c>
      <c r="J4" s="13">
        <v>2011</v>
      </c>
      <c r="K4" s="9">
        <v>8.5</v>
      </c>
      <c r="L4" s="17">
        <v>10.1</v>
      </c>
    </row>
    <row r="5" spans="2:12" ht="15">
      <c r="B5" s="13">
        <v>2012</v>
      </c>
      <c r="C5" s="6">
        <v>328.68066199390358</v>
      </c>
      <c r="D5" s="10">
        <v>336.37136332449228</v>
      </c>
      <c r="F5" s="13">
        <v>2012</v>
      </c>
      <c r="G5" s="20">
        <f>('Empregos Turismo'!C6)/(Tabela27[[#This Row],[Rio das Ostras]])</f>
        <v>1.3360928453538026E-2</v>
      </c>
      <c r="H5" s="21">
        <f>('Empregos Turismo'!D6)/(Tabela27[[#This Row],[Cabo Frio]])</f>
        <v>2.3046244710323627E-2</v>
      </c>
      <c r="J5" s="13">
        <v>2012</v>
      </c>
      <c r="K5" s="9">
        <v>17.5</v>
      </c>
      <c r="L5" s="17">
        <v>5.3</v>
      </c>
    </row>
    <row r="6" spans="2:12" ht="15">
      <c r="B6" s="13">
        <v>2013</v>
      </c>
      <c r="C6" s="6">
        <v>534.78837277815967</v>
      </c>
      <c r="D6" s="10">
        <v>368.34967974379504</v>
      </c>
      <c r="F6" s="13">
        <v>2013</v>
      </c>
      <c r="G6" s="20">
        <f>('Empregos Turismo'!C7)/(Tabela27[[#This Row],[Rio das Ostras]])</f>
        <v>1.0543390105433901E-2</v>
      </c>
      <c r="H6" s="21">
        <f>('Empregos Turismo'!D7)/(Tabela27[[#This Row],[Cabo Frio]])</f>
        <v>2.2564562361603566E-2</v>
      </c>
      <c r="J6" s="13">
        <v>2013</v>
      </c>
      <c r="K6" s="9">
        <v>71.2</v>
      </c>
      <c r="L6" s="17">
        <v>12.1</v>
      </c>
    </row>
    <row r="7" spans="2:12" ht="15">
      <c r="B7" s="13">
        <v>2014</v>
      </c>
      <c r="C7" s="6">
        <v>372.08954871786807</v>
      </c>
      <c r="D7" s="10">
        <v>366.79094618794591</v>
      </c>
      <c r="F7" s="13">
        <v>2014</v>
      </c>
      <c r="G7" s="20">
        <f>('Empregos Turismo'!C8)/(Tabela27[[#This Row],[Rio das Ostras]])</f>
        <v>1.2954627105391069E-2</v>
      </c>
      <c r="H7" s="21">
        <f>('Empregos Turismo'!D8)/(Tabela27[[#This Row],[Cabo Frio]])</f>
        <v>2.297102609252441E-2</v>
      </c>
      <c r="J7" s="13">
        <v>2014</v>
      </c>
      <c r="K7" s="8">
        <v>-27.6</v>
      </c>
      <c r="L7" s="17">
        <v>1.8</v>
      </c>
    </row>
    <row r="8" spans="2:12" ht="15">
      <c r="B8" s="13">
        <v>2015</v>
      </c>
      <c r="C8" s="6">
        <v>356.28447596532703</v>
      </c>
      <c r="D8" s="10">
        <v>354.24454921858171</v>
      </c>
      <c r="F8" s="13">
        <v>2015</v>
      </c>
      <c r="G8" s="20">
        <f>('Empregos Turismo'!C9)/(Tabela27[[#This Row],[Rio das Ostras]])</f>
        <v>1.2228578720146318E-2</v>
      </c>
      <c r="H8" s="21">
        <f>('Empregos Turismo'!D9)/(Tabela27[[#This Row],[Cabo Frio]])</f>
        <v>2.5119245476779222E-2</v>
      </c>
      <c r="J8" s="13">
        <v>2015</v>
      </c>
      <c r="K8" s="8">
        <v>-0.6</v>
      </c>
      <c r="L8" s="18">
        <v>-1.3</v>
      </c>
    </row>
    <row r="9" spans="2:12" ht="15">
      <c r="B9" s="13">
        <v>2016</v>
      </c>
      <c r="C9" s="6">
        <v>287.96861505130795</v>
      </c>
      <c r="D9" s="10">
        <v>318.26209985336351</v>
      </c>
      <c r="F9" s="13">
        <v>2016</v>
      </c>
      <c r="G9" s="20">
        <f>('Empregos Turismo'!C10)/(Tabela27[[#This Row],[Rio das Ostras]])</f>
        <v>9.8108987393249279E-3</v>
      </c>
      <c r="H9" s="21">
        <f>('Empregos Turismo'!D10)/(Tabela27[[#This Row],[Cabo Frio]])</f>
        <v>2.9543380339741514E-2</v>
      </c>
      <c r="J9" s="13">
        <v>2016</v>
      </c>
      <c r="K9" s="8">
        <v>-16.3</v>
      </c>
      <c r="L9" s="18">
        <v>-8.1999999999999993</v>
      </c>
    </row>
    <row r="10" spans="2:12" ht="15">
      <c r="B10" s="13">
        <v>2017</v>
      </c>
      <c r="C10" s="6">
        <v>267.99747727063362</v>
      </c>
      <c r="D10" s="10">
        <v>296.66498463232261</v>
      </c>
      <c r="F10" s="13">
        <v>2017</v>
      </c>
      <c r="G10" s="20">
        <f>('Empregos Turismo'!C11)/(Tabela27[[#This Row],[Rio das Ostras]])</f>
        <v>8.8579814379015839E-3</v>
      </c>
      <c r="H10" s="21">
        <f>('Empregos Turismo'!D11)/(Tabela27[[#This Row],[Cabo Frio]])</f>
        <v>3.0122158651615893E-2</v>
      </c>
      <c r="J10" s="13">
        <v>2017</v>
      </c>
      <c r="K10" s="8">
        <v>-3.9</v>
      </c>
      <c r="L10" s="18">
        <v>-4.8</v>
      </c>
    </row>
    <row r="11" spans="2:12" ht="15">
      <c r="B11" s="13">
        <v>2018</v>
      </c>
      <c r="C11" s="6">
        <v>256.33438135749952</v>
      </c>
      <c r="D11" s="10">
        <v>298.4253666954271</v>
      </c>
      <c r="F11" s="13">
        <v>2018</v>
      </c>
      <c r="G11" s="20">
        <f>('Empregos Turismo'!C12)/(Tabela27[[#This Row],[Rio das Ostras]])</f>
        <v>8.3106194217305342E-3</v>
      </c>
      <c r="H11" s="21">
        <f>('Empregos Turismo'!D12)/(Tabela27[[#This Row],[Cabo Frio]])</f>
        <v>2.7918323093603176E-2</v>
      </c>
      <c r="J11" s="13">
        <v>2018</v>
      </c>
      <c r="K11" s="8">
        <v>-1</v>
      </c>
      <c r="L11" s="17">
        <v>2.7</v>
      </c>
    </row>
    <row r="12" spans="2:12" ht="15">
      <c r="B12" s="13">
        <v>2019</v>
      </c>
      <c r="C12" s="6">
        <v>259.91212817075274</v>
      </c>
      <c r="D12" s="10">
        <v>302.11386646046503</v>
      </c>
      <c r="F12" s="13">
        <v>2019</v>
      </c>
      <c r="G12" s="20">
        <f>('Empregos Turismo'!C13)/(Tabela27[[#This Row],[Rio das Ostras]])</f>
        <v>8.247791226188652E-3</v>
      </c>
      <c r="H12" s="21">
        <f>('Empregos Turismo'!D13)/(Tabela27[[#This Row],[Cabo Frio]])</f>
        <v>2.6844838618472939E-2</v>
      </c>
      <c r="J12" s="13">
        <v>2019</v>
      </c>
      <c r="K12" s="9">
        <v>4.5999999999999996</v>
      </c>
      <c r="L12" s="17">
        <v>1.2</v>
      </c>
    </row>
    <row r="13" spans="2:12" ht="15">
      <c r="B13" s="13">
        <v>2020</v>
      </c>
      <c r="C13" s="6">
        <v>250.6491916516853</v>
      </c>
      <c r="D13" s="10">
        <v>274.59702083258372</v>
      </c>
      <c r="F13" s="13">
        <v>2020</v>
      </c>
      <c r="G13" s="20">
        <f>('Empregos Turismo'!C14)/(Tabela27[[#This Row],[Rio das Ostras]])</f>
        <v>7.9693565387285031E-3</v>
      </c>
      <c r="H13" s="21">
        <f>('Empregos Turismo'!D14)/(Tabela27[[#This Row],[Cabo Frio]])</f>
        <v>2.9497993612316767E-2</v>
      </c>
      <c r="J13" s="13">
        <v>2020</v>
      </c>
      <c r="K13" s="8">
        <v>-0.7</v>
      </c>
      <c r="L13" s="18">
        <v>-9.1</v>
      </c>
    </row>
    <row r="14" spans="2:12" ht="15">
      <c r="B14" s="13">
        <v>2021</v>
      </c>
      <c r="C14" s="6">
        <v>261.81446633527446</v>
      </c>
      <c r="D14" s="10">
        <v>294.5921989804412</v>
      </c>
      <c r="F14" s="13">
        <v>2021</v>
      </c>
      <c r="G14" s="20">
        <f>('Empregos Turismo'!C15)/(Tabela27[[#This Row],[Rio das Ostras]])</f>
        <v>8.3079943496061487E-3</v>
      </c>
      <c r="H14" s="21">
        <f>('Empregos Turismo'!D15)/(Tabela27[[#This Row],[Cabo Frio]])</f>
        <v>2.681980633533922E-2</v>
      </c>
      <c r="J14" s="13">
        <v>2021</v>
      </c>
      <c r="K14" s="9">
        <v>7.4</v>
      </c>
      <c r="L14" s="17">
        <v>7.2</v>
      </c>
    </row>
    <row r="15" spans="2:12" ht="12" customHeight="1"/>
  </sheetData>
  <mergeCells count="3">
    <mergeCell ref="B1:D1"/>
    <mergeCell ref="F1:H1"/>
    <mergeCell ref="J1:L1"/>
  </mergeCells>
  <pageMargins left="0.75" right="0.75" top="1" bottom="1" header="0.5" footer="0.5"/>
  <drawing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1ED74-F5B1-4641-AA9B-D01DEB625A81}">
  <dimension ref="B1:F51"/>
  <sheetViews>
    <sheetView topLeftCell="I1" workbookViewId="0">
      <selection activeCell="M68" sqref="M68"/>
    </sheetView>
  </sheetViews>
  <sheetFormatPr defaultRowHeight="12.75"/>
  <cols>
    <col min="1" max="1" width="2" style="74" customWidth="1"/>
    <col min="2" max="2" width="7.85546875" style="74" bestFit="1" customWidth="1"/>
    <col min="3" max="3" width="24.28515625" style="74" customWidth="1"/>
    <col min="4" max="5" width="22" style="74" bestFit="1" customWidth="1"/>
    <col min="6" max="16384" width="9.140625" style="74"/>
  </cols>
  <sheetData>
    <row r="1" spans="2:5">
      <c r="B1" s="213" t="s">
        <v>159</v>
      </c>
      <c r="C1" s="214"/>
      <c r="D1" s="214"/>
      <c r="E1" s="214"/>
    </row>
    <row r="2" spans="2:5">
      <c r="B2" s="3" t="s">
        <v>121</v>
      </c>
      <c r="C2" s="11" t="s">
        <v>122</v>
      </c>
      <c r="D2" s="113" t="s">
        <v>123</v>
      </c>
      <c r="E2" s="114" t="s">
        <v>124</v>
      </c>
    </row>
    <row r="3" spans="2:5">
      <c r="B3" s="2">
        <v>2010</v>
      </c>
      <c r="C3" s="115">
        <f>C20/População!C9</f>
        <v>84767.373859722167</v>
      </c>
      <c r="D3" s="115">
        <f>(D20/População!D9)</f>
        <v>49944.846880420133</v>
      </c>
      <c r="E3" s="116">
        <f>(E20/População!E9)</f>
        <v>65851.61661700398</v>
      </c>
    </row>
    <row r="4" spans="2:5">
      <c r="B4" s="2">
        <v>2011</v>
      </c>
      <c r="C4" s="115">
        <f>C21/População!C10</f>
        <v>112768.30762577483</v>
      </c>
      <c r="D4" s="115">
        <f>(D21/População!D10)</f>
        <v>66116.536052210839</v>
      </c>
      <c r="E4" s="116">
        <f>(E21/População!E10)</f>
        <v>68596.714718306874</v>
      </c>
    </row>
    <row r="5" spans="2:5">
      <c r="B5" s="2">
        <v>2012</v>
      </c>
      <c r="C5" s="115">
        <f>C22/População!C11</f>
        <v>128449.98019529165</v>
      </c>
      <c r="D5" s="115">
        <f>(D22/População!D11)</f>
        <v>85839.658580045259</v>
      </c>
      <c r="E5" s="116">
        <f>(E22/População!E11)</f>
        <v>78759.334538480602</v>
      </c>
    </row>
    <row r="6" spans="2:5">
      <c r="B6" s="2">
        <v>2013</v>
      </c>
      <c r="C6" s="115">
        <f>C23/População!C12</f>
        <v>121883.18766571737</v>
      </c>
      <c r="D6" s="115">
        <f>(D23/População!D12)</f>
        <v>84397.768214571654</v>
      </c>
      <c r="E6" s="116">
        <f>(E23/População!E12)</f>
        <v>85131.754686514556</v>
      </c>
    </row>
    <row r="7" spans="2:5">
      <c r="B7" s="2">
        <v>2014</v>
      </c>
      <c r="C7" s="115">
        <f>C24/População!C13</f>
        <v>112731.3538463958</v>
      </c>
      <c r="D7" s="115">
        <f>(D24/População!D13)</f>
        <v>84197.609331728469</v>
      </c>
      <c r="E7" s="116">
        <f>(E24/População!E13)</f>
        <v>93460.031416353959</v>
      </c>
    </row>
    <row r="8" spans="2:5">
      <c r="B8" s="2">
        <v>2015</v>
      </c>
      <c r="C8" s="115">
        <f>C25/População!C14</f>
        <v>66045.500697096446</v>
      </c>
      <c r="D8" s="115">
        <f>(D25/População!D14)</f>
        <v>50925.725773639999</v>
      </c>
      <c r="E8" s="116">
        <f>(E25/População!E14)</f>
        <v>83782.961088963842</v>
      </c>
    </row>
    <row r="9" spans="2:5">
      <c r="B9" s="2">
        <v>2016</v>
      </c>
      <c r="C9" s="115">
        <f>C26/População!C15</f>
        <v>35783.123270826931</v>
      </c>
      <c r="D9" s="115">
        <f>(D26/População!D15)</f>
        <v>33765.465933952677</v>
      </c>
      <c r="E9" s="116">
        <f>(E26/População!E15)</f>
        <v>73089.777666853857</v>
      </c>
    </row>
    <row r="10" spans="2:5">
      <c r="B10" s="2">
        <v>2017</v>
      </c>
      <c r="C10" s="115">
        <f>C27/População!C16</f>
        <v>39701.729770332422</v>
      </c>
      <c r="D10" s="115">
        <f>(D27/População!D16)</f>
        <v>39454.195146566359</v>
      </c>
      <c r="E10" s="116">
        <f>(E27/População!E16)</f>
        <v>62509.328585713243</v>
      </c>
    </row>
    <row r="11" spans="2:5">
      <c r="B11" s="2">
        <v>2018</v>
      </c>
      <c r="C11" s="115">
        <f>C28/População!C17</f>
        <v>58849.255765845373</v>
      </c>
      <c r="D11" s="115">
        <f>(D28/População!D17)</f>
        <v>49307.09393874029</v>
      </c>
      <c r="E11" s="116">
        <f>(E28/População!E17)</f>
        <v>61340.462820558678</v>
      </c>
    </row>
    <row r="12" spans="2:5">
      <c r="B12" s="2">
        <v>2019</v>
      </c>
      <c r="C12" s="115">
        <f>C29/População!C18</f>
        <v>51404.52234625748</v>
      </c>
      <c r="D12" s="115">
        <f>(D29/População!D18)</f>
        <v>51795.653581254832</v>
      </c>
      <c r="E12" s="116">
        <f>(E29/População!E18)</f>
        <v>58887.72390882222</v>
      </c>
    </row>
    <row r="13" spans="2:5">
      <c r="B13" s="2">
        <v>2020</v>
      </c>
      <c r="C13" s="115">
        <f>C30/População!C19</f>
        <v>40869.1951312237</v>
      </c>
      <c r="D13" s="115">
        <f>(D30/População!D19)</f>
        <v>41953.841794696506</v>
      </c>
      <c r="E13" s="116">
        <f>(E30/População!E19)</f>
        <v>58773.969483469256</v>
      </c>
    </row>
    <row r="14" spans="2:5">
      <c r="B14" s="2">
        <v>2021</v>
      </c>
      <c r="C14" s="115">
        <f>C31/População!C20</f>
        <v>56096.358655792988</v>
      </c>
      <c r="D14" s="115">
        <f>(D31/População!D20)</f>
        <v>55610.088502742372</v>
      </c>
      <c r="E14" s="116">
        <f>(E31/População!E20)</f>
        <v>66683.150719932659</v>
      </c>
    </row>
    <row r="15" spans="2:5">
      <c r="B15" s="2">
        <v>2022</v>
      </c>
      <c r="C15" s="115">
        <f>C32/População!C21</f>
        <v>69758.752899527768</v>
      </c>
      <c r="D15" s="115">
        <f>(D32/População!D21)</f>
        <v>69559.099031783262</v>
      </c>
      <c r="E15" s="116">
        <f>(E32/População!E21)</f>
        <v>79605.983984804639</v>
      </c>
    </row>
    <row r="16" spans="2:5">
      <c r="B16" s="2">
        <v>2023</v>
      </c>
      <c r="C16" s="115">
        <f>C33/População!C22</f>
        <v>65312.535814412026</v>
      </c>
      <c r="D16" s="115">
        <f>(D33/População!D22)</f>
        <v>73706.018317373702</v>
      </c>
      <c r="E16" s="116">
        <f>(E33/População!E22)</f>
        <v>88725.193833768484</v>
      </c>
    </row>
    <row r="18" spans="2:5">
      <c r="B18" s="213" t="s">
        <v>160</v>
      </c>
      <c r="C18" s="214"/>
      <c r="D18" s="214"/>
      <c r="E18" s="214"/>
    </row>
    <row r="19" spans="2:5">
      <c r="B19" s="117" t="s">
        <v>121</v>
      </c>
      <c r="C19" s="118" t="s">
        <v>122</v>
      </c>
      <c r="D19" s="119" t="s">
        <v>123</v>
      </c>
      <c r="E19" s="120" t="s">
        <v>124</v>
      </c>
    </row>
    <row r="20" spans="2:5">
      <c r="B20" s="121">
        <v>2010</v>
      </c>
      <c r="C20" s="122">
        <v>8957877000</v>
      </c>
      <c r="D20" s="122">
        <v>9301079000</v>
      </c>
      <c r="E20" s="122">
        <v>13613373000</v>
      </c>
    </row>
    <row r="21" spans="2:5">
      <c r="B21" s="123">
        <v>2011</v>
      </c>
      <c r="C21" s="124">
        <v>12516380000</v>
      </c>
      <c r="D21" s="124">
        <v>12612721000</v>
      </c>
      <c r="E21" s="124">
        <v>14565895000</v>
      </c>
    </row>
    <row r="22" spans="2:5">
      <c r="B22" s="121">
        <v>2012</v>
      </c>
      <c r="C22" s="122">
        <v>14917410000</v>
      </c>
      <c r="D22" s="122">
        <v>16764657000</v>
      </c>
      <c r="E22" s="122">
        <v>17165912000</v>
      </c>
    </row>
    <row r="23" spans="2:5">
      <c r="B23" s="123">
        <v>2013</v>
      </c>
      <c r="C23" s="124">
        <v>14893638000</v>
      </c>
      <c r="D23" s="124">
        <v>16866050000</v>
      </c>
      <c r="E23" s="124">
        <v>19032651000</v>
      </c>
    </row>
    <row r="24" spans="2:5">
      <c r="B24" s="121">
        <v>2014</v>
      </c>
      <c r="C24" s="122">
        <v>14336159000</v>
      </c>
      <c r="D24" s="122">
        <v>17208139000</v>
      </c>
      <c r="E24" s="122">
        <v>21419170000</v>
      </c>
    </row>
    <row r="25" spans="2:5">
      <c r="B25" s="123">
        <v>2015</v>
      </c>
      <c r="C25" s="124">
        <v>8716421000</v>
      </c>
      <c r="D25" s="124">
        <v>10639148000</v>
      </c>
      <c r="E25" s="124">
        <v>19671569000</v>
      </c>
    </row>
    <row r="26" spans="2:5">
      <c r="B26" s="121">
        <v>2016</v>
      </c>
      <c r="C26" s="122">
        <v>4888905000</v>
      </c>
      <c r="D26" s="122">
        <v>7207340000</v>
      </c>
      <c r="E26" s="122">
        <v>17571148000</v>
      </c>
    </row>
    <row r="27" spans="2:5">
      <c r="B27" s="123">
        <v>2017</v>
      </c>
      <c r="C27" s="124">
        <v>5602589000</v>
      </c>
      <c r="D27" s="124">
        <v>8600620000</v>
      </c>
      <c r="E27" s="124">
        <v>15378420000</v>
      </c>
    </row>
    <row r="28" spans="2:5">
      <c r="B28" s="121">
        <v>2018</v>
      </c>
      <c r="C28" s="122">
        <v>8591344000</v>
      </c>
      <c r="D28" s="122">
        <v>10972209000</v>
      </c>
      <c r="E28" s="122">
        <v>15435162000</v>
      </c>
    </row>
    <row r="29" spans="2:5">
      <c r="B29" s="123">
        <v>2019</v>
      </c>
      <c r="C29" s="124">
        <v>7745325000</v>
      </c>
      <c r="D29" s="124">
        <v>11521218000</v>
      </c>
      <c r="E29" s="124">
        <v>15102699000</v>
      </c>
    </row>
    <row r="30" spans="2:5">
      <c r="B30" s="121">
        <v>2020</v>
      </c>
      <c r="C30" s="122">
        <v>6342613000</v>
      </c>
      <c r="D30" s="122">
        <v>9328185000</v>
      </c>
      <c r="E30" s="122">
        <v>15357697000</v>
      </c>
    </row>
    <row r="31" spans="2:5">
      <c r="B31" s="123">
        <v>2021</v>
      </c>
      <c r="C31" s="124">
        <v>8948996000</v>
      </c>
      <c r="D31" s="124">
        <v>12359509000</v>
      </c>
      <c r="E31" s="124">
        <v>17746787000</v>
      </c>
    </row>
    <row r="32" spans="2:5">
      <c r="B32" s="121">
        <v>2022</v>
      </c>
      <c r="C32" s="122">
        <v>10916617000</v>
      </c>
      <c r="D32" s="122">
        <v>15453319000</v>
      </c>
      <c r="E32" s="122">
        <v>19614198000</v>
      </c>
    </row>
    <row r="33" spans="2:6">
      <c r="B33" s="123">
        <v>2023</v>
      </c>
      <c r="C33" s="124">
        <v>10599898000</v>
      </c>
      <c r="D33" s="124">
        <v>16964472000</v>
      </c>
      <c r="E33" s="124">
        <v>22394860000</v>
      </c>
    </row>
    <row r="45" spans="2:6">
      <c r="F45" s="125"/>
    </row>
    <row r="46" spans="2:6">
      <c r="F46" s="125"/>
    </row>
    <row r="47" spans="2:6">
      <c r="F47" s="125"/>
    </row>
    <row r="48" spans="2:6">
      <c r="F48" s="125"/>
    </row>
    <row r="49" spans="6:6">
      <c r="F49" s="125"/>
    </row>
    <row r="50" spans="6:6">
      <c r="F50" s="125"/>
    </row>
    <row r="51" spans="6:6">
      <c r="F51" s="125"/>
    </row>
  </sheetData>
  <mergeCells count="2">
    <mergeCell ref="B1:E1"/>
    <mergeCell ref="B18:E18"/>
  </mergeCells>
  <pageMargins left="0.75" right="0.75" top="1" bottom="1" header="0.5" footer="0.5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BF61-7A5B-4B48-8454-64714285F48F}">
  <dimension ref="B2:Y15"/>
  <sheetViews>
    <sheetView topLeftCell="O1" workbookViewId="0">
      <selection activeCell="E15" sqref="E15"/>
    </sheetView>
  </sheetViews>
  <sheetFormatPr defaultRowHeight="12.75"/>
  <cols>
    <col min="1" max="1" width="3.140625" style="73" customWidth="1"/>
    <col min="2" max="2" width="6.7109375" style="73" bestFit="1" customWidth="1"/>
    <col min="3" max="5" width="18.140625" style="73" bestFit="1" customWidth="1"/>
    <col min="6" max="6" width="0.7109375" style="73" customWidth="1"/>
    <col min="7" max="7" width="6.7109375" style="73" bestFit="1" customWidth="1"/>
    <col min="8" max="10" width="18.140625" style="73" bestFit="1" customWidth="1"/>
    <col min="11" max="11" width="1" style="73" customWidth="1"/>
    <col min="12" max="12" width="6.7109375" style="73" bestFit="1" customWidth="1"/>
    <col min="13" max="13" width="11.85546875" style="73" bestFit="1" customWidth="1"/>
    <col min="14" max="14" width="12" style="73" bestFit="1" customWidth="1"/>
    <col min="15" max="15" width="16.28515625" style="73" bestFit="1" customWidth="1"/>
    <col min="16" max="16" width="1.28515625" style="73" customWidth="1"/>
    <col min="17" max="17" width="6.7109375" style="73" bestFit="1" customWidth="1"/>
    <col min="18" max="18" width="11.85546875" style="73" bestFit="1" customWidth="1"/>
    <col min="19" max="19" width="12" style="73" bestFit="1" customWidth="1"/>
    <col min="20" max="20" width="16.28515625" style="73" bestFit="1" customWidth="1"/>
    <col min="21" max="21" width="1" style="73" customWidth="1"/>
    <col min="22" max="22" width="6.7109375" style="73" bestFit="1" customWidth="1"/>
    <col min="23" max="23" width="16.7109375" style="73" bestFit="1" customWidth="1"/>
    <col min="24" max="24" width="18.140625" style="73" bestFit="1" customWidth="1"/>
    <col min="25" max="25" width="16.7109375" style="73" bestFit="1" customWidth="1"/>
    <col min="26" max="16384" width="9.140625" style="73"/>
  </cols>
  <sheetData>
    <row r="2" spans="2:25">
      <c r="B2" s="208" t="s">
        <v>161</v>
      </c>
      <c r="C2" s="208"/>
      <c r="D2" s="208"/>
      <c r="E2" s="208"/>
      <c r="G2" s="208" t="s">
        <v>162</v>
      </c>
      <c r="H2" s="208"/>
      <c r="I2" s="208"/>
      <c r="J2" s="208"/>
      <c r="L2" s="208" t="s">
        <v>163</v>
      </c>
      <c r="M2" s="208"/>
      <c r="N2" s="208"/>
      <c r="O2" s="208"/>
      <c r="Q2" s="208" t="s">
        <v>164</v>
      </c>
      <c r="R2" s="208"/>
      <c r="S2" s="208"/>
      <c r="T2" s="208"/>
      <c r="V2" s="208" t="s">
        <v>165</v>
      </c>
      <c r="W2" s="208"/>
      <c r="X2" s="208"/>
      <c r="Y2" s="208"/>
    </row>
    <row r="3" spans="2:25">
      <c r="B3" s="126" t="s">
        <v>121</v>
      </c>
      <c r="C3" s="127" t="s">
        <v>123</v>
      </c>
      <c r="D3" s="128" t="s">
        <v>124</v>
      </c>
      <c r="E3" s="129" t="s">
        <v>122</v>
      </c>
      <c r="G3" s="126" t="s">
        <v>121</v>
      </c>
      <c r="H3" s="127" t="s">
        <v>123</v>
      </c>
      <c r="I3" s="128" t="s">
        <v>124</v>
      </c>
      <c r="J3" s="129" t="s">
        <v>122</v>
      </c>
      <c r="L3" s="126" t="s">
        <v>121</v>
      </c>
      <c r="M3" s="127" t="s">
        <v>123</v>
      </c>
      <c r="N3" s="128" t="s">
        <v>124</v>
      </c>
      <c r="O3" s="129" t="s">
        <v>122</v>
      </c>
      <c r="Q3" s="126" t="s">
        <v>121</v>
      </c>
      <c r="R3" s="127" t="s">
        <v>123</v>
      </c>
      <c r="S3" s="128" t="s">
        <v>124</v>
      </c>
      <c r="T3" s="129" t="s">
        <v>122</v>
      </c>
      <c r="V3" s="126" t="s">
        <v>121</v>
      </c>
      <c r="W3" s="127" t="s">
        <v>123</v>
      </c>
      <c r="X3" s="128" t="s">
        <v>124</v>
      </c>
      <c r="Y3" s="129" t="s">
        <v>122</v>
      </c>
    </row>
    <row r="4" spans="2:25">
      <c r="B4" s="130" t="s">
        <v>166</v>
      </c>
      <c r="C4" s="131">
        <v>859248280.70000005</v>
      </c>
      <c r="D4" s="132">
        <v>2167371699.8000002</v>
      </c>
      <c r="E4" s="131">
        <v>718715500.60000002</v>
      </c>
      <c r="G4" s="133" t="s">
        <v>166</v>
      </c>
      <c r="H4" s="131">
        <v>755757311.89999998</v>
      </c>
      <c r="I4" s="132">
        <v>1709598814</v>
      </c>
      <c r="J4" s="131">
        <v>627278256.79999995</v>
      </c>
      <c r="L4" s="130" t="s">
        <v>166</v>
      </c>
      <c r="M4" s="131">
        <f>C4/População!D12</f>
        <v>4299.6811484187356</v>
      </c>
      <c r="N4" s="132">
        <f>D4/População!E12</f>
        <v>9694.5063439595306</v>
      </c>
      <c r="O4" s="131">
        <f>E4/População!C12</f>
        <v>5881.6614340894957</v>
      </c>
      <c r="Q4" s="130" t="s">
        <v>166</v>
      </c>
      <c r="R4" s="131">
        <f>H4/População!D12</f>
        <v>3781.8120091072856</v>
      </c>
      <c r="S4" s="132">
        <f>I4/População!E12</f>
        <v>7646.9193306704474</v>
      </c>
      <c r="T4" s="131">
        <f>J4/População!C12</f>
        <v>5133.3779894595564</v>
      </c>
      <c r="V4" s="130" t="s">
        <v>166</v>
      </c>
      <c r="W4" s="134">
        <f>Tabela15[[#This Row],[Cabo Frio]]-Tabela19[[#This Row],[Cabo Frio]]</f>
        <v>103490968.80000007</v>
      </c>
      <c r="X4" s="135">
        <f t="shared" ref="X4:X15" si="0">D4-I4</f>
        <v>457772885.80000019</v>
      </c>
      <c r="Y4" s="134">
        <f t="shared" ref="Y4:Y15" si="1">E4-J4</f>
        <v>91437243.800000072</v>
      </c>
    </row>
    <row r="5" spans="2:25">
      <c r="B5" s="136" t="s">
        <v>167</v>
      </c>
      <c r="C5" s="137">
        <v>929708769.14999998</v>
      </c>
      <c r="D5" s="137">
        <f>AVERAGE(D4,D6)</f>
        <v>2195868753.6599998</v>
      </c>
      <c r="E5" s="137">
        <v>765084937.21000004</v>
      </c>
      <c r="G5" s="138" t="s">
        <v>167</v>
      </c>
      <c r="H5" s="137">
        <v>894246645.79999995</v>
      </c>
      <c r="I5" s="137">
        <f>AVERAGE(I4,I6)</f>
        <v>1845391581.5</v>
      </c>
      <c r="J5" s="137">
        <v>701701563.60000002</v>
      </c>
      <c r="L5" s="136" t="s">
        <v>167</v>
      </c>
      <c r="M5" s="137">
        <f>C5/População!D13</f>
        <v>4548.9669590171152</v>
      </c>
      <c r="N5" s="137">
        <f>D5/População!E13</f>
        <v>9581.4152790819444</v>
      </c>
      <c r="O5" s="137">
        <f>E5/População!C13</f>
        <v>6016.190304471932</v>
      </c>
      <c r="Q5" s="136" t="s">
        <v>167</v>
      </c>
      <c r="R5" s="137">
        <f>H5/População!D13</f>
        <v>4375.4545293524743</v>
      </c>
      <c r="S5" s="137">
        <f>I5/População!E13</f>
        <v>8052.1493214940219</v>
      </c>
      <c r="T5" s="137">
        <f>J5/População!C13</f>
        <v>5517.7797107831193</v>
      </c>
      <c r="V5" s="136" t="s">
        <v>167</v>
      </c>
      <c r="W5" s="139">
        <f>Tabela15[[#This Row],[Cabo Frio]]-Tabela19[[#This Row],[Cabo Frio]]</f>
        <v>35462123.350000024</v>
      </c>
      <c r="X5" s="139">
        <f t="shared" si="0"/>
        <v>350477172.15999985</v>
      </c>
      <c r="Y5" s="139">
        <f t="shared" si="1"/>
        <v>63383373.610000014</v>
      </c>
    </row>
    <row r="6" spans="2:25">
      <c r="B6" s="130" t="s">
        <v>168</v>
      </c>
      <c r="C6" s="131">
        <v>761164011.94000006</v>
      </c>
      <c r="D6" s="132">
        <v>2224365807.52</v>
      </c>
      <c r="E6" s="131">
        <v>622598693.71000004</v>
      </c>
      <c r="G6" s="133" t="s">
        <v>168</v>
      </c>
      <c r="H6" s="131">
        <v>663370791.60000002</v>
      </c>
      <c r="I6" s="132">
        <v>1981184349</v>
      </c>
      <c r="J6" s="131">
        <v>524425153.19999999</v>
      </c>
      <c r="L6" s="130" t="s">
        <v>168</v>
      </c>
      <c r="M6" s="131">
        <f>C6/População!D14</f>
        <v>3643.4148430701484</v>
      </c>
      <c r="N6" s="132">
        <f>D6/População!E14</f>
        <v>9473.7717107908284</v>
      </c>
      <c r="O6" s="131">
        <f>E6/População!C14</f>
        <v>4717.5145004394744</v>
      </c>
      <c r="Q6" s="130" t="s">
        <v>168</v>
      </c>
      <c r="R6" s="131">
        <f>H6/População!D14</f>
        <v>3175.3143220927172</v>
      </c>
      <c r="S6" s="132">
        <f>I6/População!E14</f>
        <v>8438.0402611673308</v>
      </c>
      <c r="T6" s="131">
        <f>J6/População!C14</f>
        <v>3973.6403073286051</v>
      </c>
      <c r="V6" s="130" t="s">
        <v>168</v>
      </c>
      <c r="W6" s="134">
        <f>Tabela15[[#This Row],[Cabo Frio]]-Tabela19[[#This Row],[Cabo Frio]]</f>
        <v>97793220.340000033</v>
      </c>
      <c r="X6" s="135">
        <f t="shared" si="0"/>
        <v>243181458.51999998</v>
      </c>
      <c r="Y6" s="134">
        <f t="shared" si="1"/>
        <v>98173540.51000005</v>
      </c>
    </row>
    <row r="7" spans="2:25">
      <c r="B7" s="136" t="s">
        <v>169</v>
      </c>
      <c r="C7" s="137">
        <v>627048480.11000001</v>
      </c>
      <c r="D7" s="137">
        <v>2074757683.1400001</v>
      </c>
      <c r="E7" s="137">
        <v>554459388.03999996</v>
      </c>
      <c r="G7" s="138">
        <v>2016</v>
      </c>
      <c r="H7" s="137">
        <v>319906483.80000001</v>
      </c>
      <c r="I7" s="137">
        <v>1766857059</v>
      </c>
      <c r="J7" s="137">
        <v>461767373.30000001</v>
      </c>
      <c r="L7" s="136" t="s">
        <v>169</v>
      </c>
      <c r="M7" s="137">
        <f>C7/População!D15</f>
        <v>2937.6419170028062</v>
      </c>
      <c r="N7" s="137">
        <f>D7/População!E15</f>
        <v>8630.26011580458</v>
      </c>
      <c r="O7" s="137">
        <f>E7/População!C15</f>
        <v>4058.2274826167782</v>
      </c>
      <c r="Q7" s="136" t="s">
        <v>169</v>
      </c>
      <c r="R7" s="137">
        <f>H7/População!D15</f>
        <v>1498.7209540273504</v>
      </c>
      <c r="S7" s="137">
        <f>I7/População!E15</f>
        <v>7349.5021276595744</v>
      </c>
      <c r="T7" s="137">
        <f>J7/População!C15</f>
        <v>3379.7913523048323</v>
      </c>
      <c r="V7" s="136" t="s">
        <v>169</v>
      </c>
      <c r="W7" s="139">
        <f>Tabela15[[#This Row],[Cabo Frio]]-Tabela19[[#This Row],[Cabo Frio]]</f>
        <v>307141996.31</v>
      </c>
      <c r="X7" s="139">
        <f t="shared" si="0"/>
        <v>307900624.1400001</v>
      </c>
      <c r="Y7" s="139">
        <f t="shared" si="1"/>
        <v>92692014.73999995</v>
      </c>
    </row>
    <row r="8" spans="2:25">
      <c r="B8" s="130" t="s">
        <v>170</v>
      </c>
      <c r="C8" s="131">
        <v>802978089.15999997</v>
      </c>
      <c r="D8" s="132">
        <v>1978194269.46</v>
      </c>
      <c r="E8" s="131">
        <v>574125894.14999998</v>
      </c>
      <c r="G8" s="133" t="s">
        <v>170</v>
      </c>
      <c r="H8" s="131">
        <v>672074961.89999998</v>
      </c>
      <c r="I8" s="132">
        <v>1798305022</v>
      </c>
      <c r="J8" s="131">
        <v>407060811</v>
      </c>
      <c r="L8" s="130" t="s">
        <v>170</v>
      </c>
      <c r="M8" s="131">
        <f>C8/População!D16</f>
        <v>3683.5547004908481</v>
      </c>
      <c r="N8" s="132">
        <f>D8/População!E16</f>
        <v>8040.8517647489207</v>
      </c>
      <c r="O8" s="131">
        <f>E8/População!C16</f>
        <v>4068.4389134547928</v>
      </c>
      <c r="Q8" s="130" t="s">
        <v>170</v>
      </c>
      <c r="R8" s="131">
        <f>H8/População!D16</f>
        <v>3083.0540937657688</v>
      </c>
      <c r="S8" s="132">
        <f>I8/População!E16</f>
        <v>7309.6481639554831</v>
      </c>
      <c r="T8" s="131">
        <f>J8/População!C16</f>
        <v>2884.5625332171176</v>
      </c>
      <c r="V8" s="130" t="s">
        <v>170</v>
      </c>
      <c r="W8" s="134">
        <f>Tabela15[[#This Row],[Cabo Frio]]-Tabela19[[#This Row],[Cabo Frio]]</f>
        <v>130903127.25999999</v>
      </c>
      <c r="X8" s="135">
        <f t="shared" si="0"/>
        <v>179889247.46000004</v>
      </c>
      <c r="Y8" s="134">
        <f t="shared" si="1"/>
        <v>167065083.14999998</v>
      </c>
    </row>
    <row r="9" spans="2:25">
      <c r="B9" s="136" t="s">
        <v>171</v>
      </c>
      <c r="C9" s="137">
        <v>905689437.22000003</v>
      </c>
      <c r="D9" s="137">
        <v>2576830299.9299998</v>
      </c>
      <c r="E9" s="137">
        <v>682470464.48000002</v>
      </c>
      <c r="G9" s="138" t="s">
        <v>171</v>
      </c>
      <c r="H9" s="137">
        <v>737223978.5</v>
      </c>
      <c r="I9" s="137">
        <v>1837394693</v>
      </c>
      <c r="J9" s="137">
        <v>529408646</v>
      </c>
      <c r="L9" s="136" t="s">
        <v>171</v>
      </c>
      <c r="M9" s="137">
        <f>C9/População!D17</f>
        <v>4070.0021445391144</v>
      </c>
      <c r="N9" s="137">
        <f>D9/População!E17</f>
        <v>10240.512098787509</v>
      </c>
      <c r="O9" s="137">
        <f>E9/População!C17</f>
        <v>4674.8074476844149</v>
      </c>
      <c r="Q9" s="136" t="s">
        <v>171</v>
      </c>
      <c r="R9" s="137">
        <f>H9/População!D17</f>
        <v>3312.9492850337933</v>
      </c>
      <c r="S9" s="137">
        <f>I9/População!E17</f>
        <v>7301.9409095063802</v>
      </c>
      <c r="T9" s="137">
        <f>J9/População!C17</f>
        <v>3626.359835330059</v>
      </c>
      <c r="V9" s="136" t="s">
        <v>171</v>
      </c>
      <c r="W9" s="139">
        <f>Tabela15[[#This Row],[Cabo Frio]]-Tabela19[[#This Row],[Cabo Frio]]</f>
        <v>168465458.72000003</v>
      </c>
      <c r="X9" s="139">
        <f t="shared" si="0"/>
        <v>739435606.92999983</v>
      </c>
      <c r="Y9" s="139">
        <f t="shared" si="1"/>
        <v>153061818.48000002</v>
      </c>
    </row>
    <row r="10" spans="2:25">
      <c r="B10" s="130" t="s">
        <v>172</v>
      </c>
      <c r="C10" s="131">
        <v>909144623.19000006</v>
      </c>
      <c r="D10" s="132">
        <v>2227926721.48</v>
      </c>
      <c r="E10" s="131">
        <v>669443417.80999994</v>
      </c>
      <c r="G10" s="133" t="s">
        <v>172</v>
      </c>
      <c r="H10" s="131">
        <v>800004152.70000005</v>
      </c>
      <c r="I10" s="132">
        <v>2029560307</v>
      </c>
      <c r="J10" s="131">
        <v>579841123.70000005</v>
      </c>
      <c r="L10" s="130" t="s">
        <v>172</v>
      </c>
      <c r="M10" s="131">
        <f>C10/População!D18</f>
        <v>4087.2188997734183</v>
      </c>
      <c r="N10" s="132">
        <f>D10/População!E18</f>
        <v>8687.0256543947344</v>
      </c>
      <c r="O10" s="131">
        <f>E10/População!C18</f>
        <v>4442.992273451292</v>
      </c>
      <c r="Q10" s="130" t="s">
        <v>172</v>
      </c>
      <c r="R10" s="131">
        <f>H10/População!D18</f>
        <v>3596.558797586722</v>
      </c>
      <c r="S10" s="132">
        <f>I10/População!E18</f>
        <v>7913.5647883150205</v>
      </c>
      <c r="T10" s="131">
        <f>J10/População!C18</f>
        <v>3848.3157260044868</v>
      </c>
      <c r="V10" s="130" t="s">
        <v>172</v>
      </c>
      <c r="W10" s="134">
        <f>Tabela15[[#This Row],[Cabo Frio]]-Tabela19[[#This Row],[Cabo Frio]]</f>
        <v>109140470.49000001</v>
      </c>
      <c r="X10" s="135">
        <f t="shared" si="0"/>
        <v>198366414.48000002</v>
      </c>
      <c r="Y10" s="134">
        <f t="shared" si="1"/>
        <v>89602294.109999895</v>
      </c>
    </row>
    <row r="11" spans="2:25">
      <c r="B11" s="136" t="s">
        <v>173</v>
      </c>
      <c r="C11" s="137">
        <v>909962278.02999997</v>
      </c>
      <c r="D11" s="137">
        <v>2521222323</v>
      </c>
      <c r="E11" s="137">
        <v>663019789.21000004</v>
      </c>
      <c r="G11" s="138" t="s">
        <v>173</v>
      </c>
      <c r="H11" s="137">
        <v>817289082</v>
      </c>
      <c r="I11" s="137">
        <v>2100571932</v>
      </c>
      <c r="J11" s="137">
        <v>590808703.5</v>
      </c>
      <c r="L11" s="136" t="s">
        <v>173</v>
      </c>
      <c r="M11" s="137">
        <f>C11/População!D19</f>
        <v>4092.5875131777784</v>
      </c>
      <c r="N11" s="137">
        <f>D11/População!E19</f>
        <v>9648.72818320634</v>
      </c>
      <c r="O11" s="137">
        <f>E11/População!C19</f>
        <v>4272.2274149607265</v>
      </c>
      <c r="Q11" s="136" t="s">
        <v>173</v>
      </c>
      <c r="R11" s="137">
        <f>H11/População!D19</f>
        <v>3675.7865379771883</v>
      </c>
      <c r="S11" s="137">
        <f>I11/População!E19</f>
        <v>8038.8974095009207</v>
      </c>
      <c r="T11" s="137">
        <f>J11/População!C19</f>
        <v>3806.9288144439506</v>
      </c>
      <c r="V11" s="136" t="s">
        <v>173</v>
      </c>
      <c r="W11" s="139">
        <f>Tabela15[[#This Row],[Cabo Frio]]-Tabela19[[#This Row],[Cabo Frio]]</f>
        <v>92673196.029999971</v>
      </c>
      <c r="X11" s="139">
        <f t="shared" si="0"/>
        <v>420650391</v>
      </c>
      <c r="Y11" s="139">
        <f t="shared" si="1"/>
        <v>72211085.710000038</v>
      </c>
    </row>
    <row r="12" spans="2:25">
      <c r="B12" s="130" t="s">
        <v>174</v>
      </c>
      <c r="C12" s="131">
        <v>1192463575.71</v>
      </c>
      <c r="D12" s="132">
        <v>3086321621.71</v>
      </c>
      <c r="E12" s="131">
        <v>866190625.67999995</v>
      </c>
      <c r="G12" s="133" t="s">
        <v>174</v>
      </c>
      <c r="H12" s="131">
        <v>1009223617</v>
      </c>
      <c r="I12" s="132">
        <v>2079048258</v>
      </c>
      <c r="J12" s="131">
        <v>645428338.29999995</v>
      </c>
      <c r="L12" s="130" t="s">
        <v>174</v>
      </c>
      <c r="M12" s="131">
        <f>C12/População!D20</f>
        <v>5365.3429906907895</v>
      </c>
      <c r="N12" s="132">
        <f>D12/População!E20</f>
        <v>11596.783680937566</v>
      </c>
      <c r="O12" s="131">
        <f>E12/População!C20</f>
        <v>5429.6750163293191</v>
      </c>
      <c r="Q12" s="130" t="s">
        <v>174</v>
      </c>
      <c r="R12" s="131">
        <f>H12/População!D20</f>
        <v>4540.87736498495</v>
      </c>
      <c r="S12" s="132">
        <f>I12/População!E20</f>
        <v>7811.9768013346556</v>
      </c>
      <c r="T12" s="131">
        <f>J12/População!C20</f>
        <v>4045.8370471826438</v>
      </c>
      <c r="V12" s="130" t="s">
        <v>174</v>
      </c>
      <c r="W12" s="134">
        <f>Tabela15[[#This Row],[Cabo Frio]]-Tabela19[[#This Row],[Cabo Frio]]</f>
        <v>183239958.71000004</v>
      </c>
      <c r="X12" s="135">
        <f t="shared" si="0"/>
        <v>1007273363.71</v>
      </c>
      <c r="Y12" s="134">
        <f t="shared" si="1"/>
        <v>220762287.38</v>
      </c>
    </row>
    <row r="13" spans="2:25">
      <c r="B13" s="136" t="s">
        <v>175</v>
      </c>
      <c r="C13" s="137">
        <v>1319466671.5</v>
      </c>
      <c r="D13" s="137">
        <v>3949268272.25</v>
      </c>
      <c r="E13" s="137">
        <v>1095412973.5699999</v>
      </c>
      <c r="G13" s="138" t="s">
        <v>175</v>
      </c>
      <c r="H13" s="137">
        <v>1290553735.54</v>
      </c>
      <c r="I13" s="137">
        <v>2535043629.5</v>
      </c>
      <c r="J13" s="137">
        <v>841224847.15999997</v>
      </c>
      <c r="L13" s="136" t="s">
        <v>175</v>
      </c>
      <c r="M13" s="137">
        <f>C13/População!D21</f>
        <v>5939.2362813455111</v>
      </c>
      <c r="N13" s="137">
        <f>D13/População!E21</f>
        <v>16028.459936645413</v>
      </c>
      <c r="O13" s="137">
        <f>E13/População!C21</f>
        <v>6999.8464676562862</v>
      </c>
      <c r="Q13" s="136" t="s">
        <v>175</v>
      </c>
      <c r="R13" s="137">
        <f>H13/População!D21</f>
        <v>5809.0922148351865</v>
      </c>
      <c r="S13" s="137">
        <f>I13/População!E21</f>
        <v>10288.702223295493</v>
      </c>
      <c r="T13" s="137">
        <f>J13/População!C21</f>
        <v>5375.5477769328581</v>
      </c>
      <c r="V13" s="136" t="s">
        <v>175</v>
      </c>
      <c r="W13" s="139">
        <f>Tabela15[[#This Row],[Cabo Frio]]-Tabela19[[#This Row],[Cabo Frio]]</f>
        <v>28912935.960000038</v>
      </c>
      <c r="X13" s="139">
        <f t="shared" si="0"/>
        <v>1414224642.75</v>
      </c>
      <c r="Y13" s="139">
        <f t="shared" si="1"/>
        <v>254188126.40999997</v>
      </c>
    </row>
    <row r="14" spans="2:25">
      <c r="B14" s="130" t="s">
        <v>176</v>
      </c>
      <c r="C14" s="131">
        <v>1511318949.52</v>
      </c>
      <c r="D14" s="132">
        <v>4245194439.1199999</v>
      </c>
      <c r="E14" s="131">
        <v>1114526723.48</v>
      </c>
      <c r="G14" s="133" t="s">
        <v>176</v>
      </c>
      <c r="H14" s="131">
        <v>1398624538.75</v>
      </c>
      <c r="I14" s="132">
        <v>3019008538.7199998</v>
      </c>
      <c r="J14" s="131">
        <v>1020633242.86</v>
      </c>
      <c r="L14" s="130" t="s">
        <v>176</v>
      </c>
      <c r="M14" s="131">
        <f>C14/População!D22</f>
        <v>6566.2699184929006</v>
      </c>
      <c r="N14" s="132">
        <f>D14/População!E22</f>
        <v>16818.845908077034</v>
      </c>
      <c r="O14" s="131">
        <f>E14/População!C22</f>
        <v>6867.2893402754244</v>
      </c>
      <c r="Q14" s="130" t="s">
        <v>176</v>
      </c>
      <c r="R14" s="131">
        <f>H14/População!D22</f>
        <v>6076.6433445282491</v>
      </c>
      <c r="S14" s="132">
        <f>I14/População!E22</f>
        <v>11960.874851806804</v>
      </c>
      <c r="T14" s="131">
        <f>J14/População!C22</f>
        <v>6288.7534604270004</v>
      </c>
      <c r="V14" s="130" t="s">
        <v>176</v>
      </c>
      <c r="W14" s="134">
        <f>Tabela15[[#This Row],[Cabo Frio]]-Tabela19[[#This Row],[Cabo Frio]]</f>
        <v>112694410.76999998</v>
      </c>
      <c r="X14" s="135">
        <f t="shared" si="0"/>
        <v>1226185900.4000001</v>
      </c>
      <c r="Y14" s="134">
        <f t="shared" si="1"/>
        <v>93893480.620000005</v>
      </c>
    </row>
    <row r="15" spans="2:25">
      <c r="B15" s="140" t="s">
        <v>177</v>
      </c>
      <c r="C15" s="141">
        <v>1529765894.5999999</v>
      </c>
      <c r="D15" s="141">
        <v>4707674847.4300003</v>
      </c>
      <c r="E15" s="141">
        <v>1142488573.97</v>
      </c>
      <c r="G15" s="142" t="s">
        <v>177</v>
      </c>
      <c r="H15" s="143">
        <v>1581967896.76</v>
      </c>
      <c r="I15" s="143">
        <v>3580591394.1100001</v>
      </c>
      <c r="J15" s="143">
        <v>1066314189.45</v>
      </c>
      <c r="L15" s="140" t="s">
        <v>177</v>
      </c>
      <c r="M15" s="137">
        <f>C15/População!D23</f>
        <v>6423.1078096789633</v>
      </c>
      <c r="N15" s="137">
        <f>D15/População!E23</f>
        <v>18216.934434744588</v>
      </c>
      <c r="O15" s="137">
        <f>E15/População!C23</f>
        <v>6796.5221326123301</v>
      </c>
      <c r="Q15" s="140" t="s">
        <v>177</v>
      </c>
      <c r="R15" s="137">
        <f>H15/População!D23</f>
        <v>6642.2910774837719</v>
      </c>
      <c r="S15" s="137">
        <f>I15/População!E23</f>
        <v>13855.544568827079</v>
      </c>
      <c r="T15" s="137">
        <f>J15/População!C23</f>
        <v>6343.3702130887159</v>
      </c>
      <c r="V15" s="140" t="s">
        <v>177</v>
      </c>
      <c r="W15" s="139">
        <f>Tabela15[[#This Row],[Cabo Frio]]-Tabela19[[#This Row],[Cabo Frio]]</f>
        <v>-52202002.160000086</v>
      </c>
      <c r="X15" s="139">
        <f t="shared" si="0"/>
        <v>1127083453.3200002</v>
      </c>
      <c r="Y15" s="139">
        <f t="shared" si="1"/>
        <v>76174384.519999981</v>
      </c>
    </row>
  </sheetData>
  <mergeCells count="5">
    <mergeCell ref="L2:O2"/>
    <mergeCell ref="Q2:T2"/>
    <mergeCell ref="V2:Y2"/>
    <mergeCell ref="B2:E2"/>
    <mergeCell ref="G2:J2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4481-BED1-4785-8799-D33BC0BF28E7}">
  <dimension ref="A1:M19"/>
  <sheetViews>
    <sheetView tabSelected="1" workbookViewId="0">
      <selection activeCell="A21" sqref="A21:XFD25"/>
    </sheetView>
  </sheetViews>
  <sheetFormatPr defaultRowHeight="15"/>
  <cols>
    <col min="1" max="1" width="16" customWidth="1"/>
    <col min="2" max="2" width="21.5703125" customWidth="1"/>
    <col min="3" max="3" width="13.28515625" customWidth="1"/>
    <col min="4" max="4" width="19.85546875" customWidth="1"/>
    <col min="5" max="5" width="14.28515625" customWidth="1"/>
    <col min="6" max="6" width="24.140625" customWidth="1"/>
    <col min="7" max="7" width="55" customWidth="1"/>
  </cols>
  <sheetData>
    <row r="1" spans="1:13" ht="27.95" customHeight="1">
      <c r="A1" s="215" t="s">
        <v>178</v>
      </c>
      <c r="B1" s="215"/>
      <c r="C1" s="215"/>
      <c r="D1" s="215"/>
      <c r="E1" s="215"/>
      <c r="F1" s="215"/>
      <c r="G1" s="215"/>
      <c r="H1" s="177"/>
      <c r="I1" s="177"/>
      <c r="J1" s="177"/>
      <c r="K1" s="177"/>
      <c r="L1" s="177"/>
      <c r="M1" s="177"/>
    </row>
    <row r="2" spans="1:13" ht="5.0999999999999996" customHeight="1"/>
    <row r="3" spans="1:13" ht="21.95" customHeight="1">
      <c r="A3" s="178" t="s">
        <v>179</v>
      </c>
      <c r="B3" s="178" t="s">
        <v>180</v>
      </c>
      <c r="C3" s="178" t="s">
        <v>181</v>
      </c>
      <c r="D3" s="178" t="s">
        <v>182</v>
      </c>
      <c r="E3" s="178" t="s">
        <v>174</v>
      </c>
      <c r="F3" s="178" t="s">
        <v>183</v>
      </c>
      <c r="G3" s="178" t="s">
        <v>184</v>
      </c>
    </row>
    <row r="4" spans="1:13" ht="20.100000000000001" customHeight="1">
      <c r="A4" s="216" t="s">
        <v>185</v>
      </c>
      <c r="B4" s="26" t="s">
        <v>122</v>
      </c>
      <c r="C4" s="22">
        <v>0.65900000000000003</v>
      </c>
      <c r="D4" s="22">
        <v>0.77300000000000002</v>
      </c>
      <c r="E4" s="22">
        <v>0.79700000000000004</v>
      </c>
      <c r="F4" s="23">
        <v>17.3</v>
      </c>
      <c r="G4" s="23">
        <v>3.1</v>
      </c>
    </row>
    <row r="5" spans="1:13" ht="20.100000000000001" customHeight="1">
      <c r="A5" s="217"/>
      <c r="B5" s="27" t="s">
        <v>123</v>
      </c>
      <c r="C5" s="24">
        <v>0.72899999999999998</v>
      </c>
      <c r="D5" s="24">
        <v>0.75900000000000001</v>
      </c>
      <c r="E5" s="24">
        <v>0.77300000000000002</v>
      </c>
      <c r="F5" s="25">
        <v>4.0999999999999996</v>
      </c>
      <c r="G5" s="25">
        <v>1.8</v>
      </c>
    </row>
    <row r="6" spans="1:13" ht="20.100000000000001" customHeight="1">
      <c r="A6" s="218"/>
      <c r="B6" s="28" t="s">
        <v>124</v>
      </c>
      <c r="C6" s="22">
        <v>0.73599999999999999</v>
      </c>
      <c r="D6" s="22">
        <v>0.76400000000000001</v>
      </c>
      <c r="E6" s="22">
        <v>0.77800000000000002</v>
      </c>
      <c r="F6" s="23">
        <v>3.8</v>
      </c>
      <c r="G6" s="23">
        <v>1.8</v>
      </c>
    </row>
    <row r="7" spans="1:13" ht="3.95" customHeight="1"/>
    <row r="8" spans="1:13" ht="20.100000000000001" customHeight="1">
      <c r="A8" s="219" t="s">
        <v>186</v>
      </c>
      <c r="B8" s="26" t="s">
        <v>122</v>
      </c>
      <c r="C8" s="22">
        <v>0.76200000000000001</v>
      </c>
      <c r="D8" s="22">
        <v>0.85399999999999998</v>
      </c>
      <c r="E8" s="22">
        <v>0.873</v>
      </c>
      <c r="F8" s="23">
        <v>12.1</v>
      </c>
      <c r="G8" s="23">
        <v>2.2000000000000002</v>
      </c>
    </row>
    <row r="9" spans="1:13" ht="20.100000000000001" customHeight="1">
      <c r="A9" s="217"/>
      <c r="B9" s="27" t="s">
        <v>123</v>
      </c>
      <c r="C9" s="24">
        <v>0.80100000000000005</v>
      </c>
      <c r="D9" s="24">
        <v>0.84499999999999997</v>
      </c>
      <c r="E9" s="24">
        <v>0.86099999999999999</v>
      </c>
      <c r="F9" s="25">
        <v>5.5</v>
      </c>
      <c r="G9" s="25">
        <v>1.9</v>
      </c>
    </row>
    <row r="10" spans="1:13" ht="20.100000000000001" customHeight="1">
      <c r="A10" s="218"/>
      <c r="B10" s="28" t="s">
        <v>124</v>
      </c>
      <c r="C10" s="22">
        <v>0.78900000000000003</v>
      </c>
      <c r="D10" s="22">
        <v>0.85099999999999998</v>
      </c>
      <c r="E10" s="22">
        <v>0.86699999999999999</v>
      </c>
      <c r="F10" s="23">
        <v>7.9</v>
      </c>
      <c r="G10" s="23">
        <v>1.9</v>
      </c>
    </row>
    <row r="11" spans="1:13" ht="3.95" customHeight="1"/>
    <row r="12" spans="1:13" ht="20.100000000000001" customHeight="1">
      <c r="A12" s="220" t="s">
        <v>187</v>
      </c>
      <c r="B12" s="26" t="s">
        <v>122</v>
      </c>
      <c r="C12" s="22">
        <v>0.70899999999999996</v>
      </c>
      <c r="D12" s="22">
        <v>0.78400000000000003</v>
      </c>
      <c r="E12" s="22">
        <v>0.79</v>
      </c>
      <c r="F12" s="23">
        <v>10.6</v>
      </c>
      <c r="G12" s="23">
        <v>0.8</v>
      </c>
    </row>
    <row r="13" spans="1:13" ht="20.100000000000001" customHeight="1">
      <c r="A13" s="217"/>
      <c r="B13" s="27" t="s">
        <v>123</v>
      </c>
      <c r="C13" s="24">
        <v>0.74199999999999999</v>
      </c>
      <c r="D13" s="24">
        <v>0.76200000000000001</v>
      </c>
      <c r="E13" s="24">
        <v>0.77100000000000002</v>
      </c>
      <c r="F13" s="25">
        <v>2.7</v>
      </c>
      <c r="G13" s="25">
        <v>1.2</v>
      </c>
    </row>
    <row r="14" spans="1:13" ht="20.100000000000001" customHeight="1">
      <c r="A14" s="218"/>
      <c r="B14" s="28" t="s">
        <v>124</v>
      </c>
      <c r="C14" s="22">
        <v>0.751</v>
      </c>
      <c r="D14" s="22">
        <v>0.77500000000000002</v>
      </c>
      <c r="E14" s="22">
        <v>0.77900000000000003</v>
      </c>
      <c r="F14" s="23">
        <v>3.2</v>
      </c>
      <c r="G14" s="23">
        <v>0.5</v>
      </c>
    </row>
    <row r="15" spans="1:13" ht="3.95" customHeight="1"/>
    <row r="16" spans="1:13" ht="20.100000000000001" customHeight="1">
      <c r="A16" s="221" t="s">
        <v>188</v>
      </c>
      <c r="B16" s="26" t="s">
        <v>122</v>
      </c>
      <c r="C16" s="22">
        <v>0.53</v>
      </c>
      <c r="D16" s="22">
        <v>0.68600000000000005</v>
      </c>
      <c r="E16" s="22">
        <v>0.73299999999999998</v>
      </c>
      <c r="F16" s="23">
        <v>29.4</v>
      </c>
      <c r="G16" s="23">
        <v>6.9</v>
      </c>
    </row>
    <row r="17" spans="1:7" ht="20.100000000000001" customHeight="1">
      <c r="A17" s="217"/>
      <c r="B17" s="27" t="s">
        <v>123</v>
      </c>
      <c r="C17" s="24">
        <v>0.65</v>
      </c>
      <c r="D17" s="24">
        <v>0.67800000000000005</v>
      </c>
      <c r="E17" s="24">
        <v>0.69099999999999995</v>
      </c>
      <c r="F17" s="25">
        <v>4.3</v>
      </c>
      <c r="G17" s="25">
        <v>1.9</v>
      </c>
    </row>
    <row r="18" spans="1:7" ht="20.100000000000001" customHeight="1">
      <c r="A18" s="218"/>
      <c r="B18" s="28" t="s">
        <v>124</v>
      </c>
      <c r="C18" s="22">
        <v>0.67200000000000004</v>
      </c>
      <c r="D18" s="22">
        <v>0.67300000000000004</v>
      </c>
      <c r="E18" s="22">
        <v>0.69299999999999995</v>
      </c>
      <c r="F18" s="23">
        <v>0.1</v>
      </c>
      <c r="G18" s="23">
        <v>3</v>
      </c>
    </row>
    <row r="19" spans="1:7" ht="3.95" customHeight="1"/>
  </sheetData>
  <mergeCells count="5">
    <mergeCell ref="A1:G1"/>
    <mergeCell ref="A4:A6"/>
    <mergeCell ref="A8:A10"/>
    <mergeCell ref="A12:A14"/>
    <mergeCell ref="A16:A18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766B-1523-4E9C-9E28-BCAB52E45346}">
  <dimension ref="A1:V55"/>
  <sheetViews>
    <sheetView topLeftCell="K1" workbookViewId="0">
      <selection activeCell="M34" sqref="M34"/>
    </sheetView>
  </sheetViews>
  <sheetFormatPr defaultRowHeight="15"/>
  <cols>
    <col min="1" max="1" width="29.42578125" style="152" bestFit="1" customWidth="1"/>
    <col min="2" max="2" width="46" style="152" bestFit="1" customWidth="1"/>
    <col min="3" max="3" width="75" style="152" customWidth="1"/>
    <col min="4" max="4" width="84.42578125" style="152" customWidth="1"/>
    <col min="5" max="5" width="11.42578125" style="162" customWidth="1"/>
    <col min="6" max="6" width="9.5703125" style="152" bestFit="1" customWidth="1"/>
    <col min="7" max="7" width="15.5703125" style="152" bestFit="1" customWidth="1"/>
    <col min="8" max="8" width="29.5703125" style="152" bestFit="1" customWidth="1"/>
    <col min="9" max="9" width="28.7109375" style="152" customWidth="1"/>
    <col min="10" max="10" width="9.5703125" style="152" bestFit="1" customWidth="1"/>
    <col min="11" max="11" width="15.5703125" style="152" bestFit="1" customWidth="1"/>
    <col min="12" max="12" width="26.85546875" style="152" customWidth="1"/>
    <col min="13" max="13" width="40.28515625" style="152" customWidth="1"/>
    <col min="14" max="14" width="11.28515625" style="152" customWidth="1"/>
    <col min="15" max="15" width="17.28515625" style="152" bestFit="1" customWidth="1"/>
    <col min="16" max="16" width="29.5703125" style="152" bestFit="1" customWidth="1"/>
    <col min="17" max="17" width="33.42578125" style="152" customWidth="1"/>
    <col min="18" max="18" width="12.42578125" style="152" customWidth="1"/>
    <col min="19" max="19" width="20.5703125" style="152" customWidth="1"/>
    <col min="20" max="20" width="22.42578125" style="152" customWidth="1"/>
    <col min="21" max="21" width="35.28515625" style="152" customWidth="1"/>
    <col min="22" max="16384" width="9.140625" style="152"/>
  </cols>
  <sheetData>
    <row r="1" spans="1:5" ht="15.75">
      <c r="A1" s="146" t="s">
        <v>25</v>
      </c>
      <c r="B1" s="147" t="s">
        <v>26</v>
      </c>
      <c r="C1" s="148" t="s">
        <v>189</v>
      </c>
      <c r="D1" s="150" t="s">
        <v>190</v>
      </c>
      <c r="E1" s="160"/>
    </row>
    <row r="2" spans="1:5" ht="16.5">
      <c r="A2" s="144" t="s">
        <v>31</v>
      </c>
      <c r="B2" s="145" t="s">
        <v>32</v>
      </c>
      <c r="C2" s="145" t="s">
        <v>191</v>
      </c>
      <c r="D2" s="149" t="s">
        <v>155</v>
      </c>
      <c r="E2" s="149"/>
    </row>
    <row r="3" spans="1:5" ht="48.75">
      <c r="A3" s="144" t="s">
        <v>36</v>
      </c>
      <c r="B3" s="145" t="s">
        <v>37</v>
      </c>
      <c r="C3" s="145" t="s">
        <v>192</v>
      </c>
      <c r="D3" s="151" t="s">
        <v>193</v>
      </c>
      <c r="E3" s="151"/>
    </row>
    <row r="4" spans="1:5" ht="96.75">
      <c r="A4" s="144" t="s">
        <v>40</v>
      </c>
      <c r="B4" s="145" t="s">
        <v>37</v>
      </c>
      <c r="C4" s="145" t="s">
        <v>194</v>
      </c>
      <c r="D4" s="151" t="s">
        <v>195</v>
      </c>
      <c r="E4" s="151"/>
    </row>
    <row r="5" spans="1:5" ht="48.75">
      <c r="A5" s="144" t="s">
        <v>44</v>
      </c>
      <c r="B5" s="145" t="s">
        <v>45</v>
      </c>
      <c r="C5" s="145" t="s">
        <v>196</v>
      </c>
      <c r="D5" s="151" t="s">
        <v>197</v>
      </c>
      <c r="E5" s="151"/>
    </row>
    <row r="6" spans="1:5" ht="48.75">
      <c r="A6" s="144" t="s">
        <v>48</v>
      </c>
      <c r="B6" s="145" t="s">
        <v>37</v>
      </c>
      <c r="C6" s="145" t="s">
        <v>198</v>
      </c>
      <c r="D6" s="151" t="s">
        <v>199</v>
      </c>
      <c r="E6" s="151"/>
    </row>
    <row r="7" spans="1:5" ht="48.75">
      <c r="A7" s="144" t="s">
        <v>51</v>
      </c>
      <c r="B7" s="145" t="s">
        <v>52</v>
      </c>
      <c r="C7" s="145" t="s">
        <v>200</v>
      </c>
      <c r="D7" s="151" t="s">
        <v>201</v>
      </c>
      <c r="E7" s="151"/>
    </row>
    <row r="8" spans="1:5" ht="32.25">
      <c r="A8" s="144" t="s">
        <v>54</v>
      </c>
      <c r="B8" s="145" t="s">
        <v>55</v>
      </c>
      <c r="C8" s="145" t="s">
        <v>202</v>
      </c>
      <c r="D8" s="151" t="s">
        <v>203</v>
      </c>
      <c r="E8" s="151"/>
    </row>
    <row r="10" spans="1:5" s="73" customFormat="1" ht="12.75">
      <c r="E10" s="161"/>
    </row>
    <row r="11" spans="1:5" s="73" customFormat="1" ht="12.75">
      <c r="E11" s="161"/>
    </row>
    <row r="12" spans="1:5" s="73" customFormat="1" ht="12.75">
      <c r="E12" s="161"/>
    </row>
    <row r="13" spans="1:5" s="73" customFormat="1" ht="12.75">
      <c r="E13" s="161"/>
    </row>
    <row r="14" spans="1:5" s="73" customFormat="1" ht="12.75">
      <c r="E14" s="161"/>
    </row>
    <row r="15" spans="1:5" s="73" customFormat="1" ht="12.75">
      <c r="E15" s="161"/>
    </row>
    <row r="16" spans="1:5" s="73" customFormat="1" ht="12.75">
      <c r="E16" s="161"/>
    </row>
    <row r="17" spans="5:22" s="73" customFormat="1" ht="12.75">
      <c r="E17" s="161"/>
    </row>
    <row r="18" spans="5:22" s="73" customFormat="1" ht="12.75">
      <c r="E18" s="161"/>
    </row>
    <row r="19" spans="5:22" s="73" customFormat="1" ht="12.75">
      <c r="E19" s="161"/>
    </row>
    <row r="20" spans="5:22" s="73" customFormat="1" ht="12.75">
      <c r="E20" s="161"/>
      <c r="F20" s="185" t="s">
        <v>204</v>
      </c>
      <c r="G20" s="185"/>
      <c r="H20" s="185"/>
      <c r="J20" s="185" t="s">
        <v>204</v>
      </c>
      <c r="K20" s="185"/>
      <c r="L20" s="185"/>
      <c r="N20" s="186" t="s">
        <v>204</v>
      </c>
      <c r="O20" s="187"/>
      <c r="P20" s="188"/>
      <c r="R20" s="184" t="s">
        <v>204</v>
      </c>
      <c r="S20" s="185"/>
      <c r="T20" s="185"/>
      <c r="U20" s="185"/>
    </row>
    <row r="21" spans="5:22" s="73" customFormat="1" ht="12.75">
      <c r="E21" s="161"/>
      <c r="F21" s="179" t="s">
        <v>121</v>
      </c>
      <c r="G21" s="179" t="s">
        <v>54</v>
      </c>
      <c r="H21" s="179" t="s">
        <v>205</v>
      </c>
      <c r="J21" s="179" t="s">
        <v>121</v>
      </c>
      <c r="K21" s="179" t="s">
        <v>54</v>
      </c>
      <c r="L21" s="179" t="s">
        <v>206</v>
      </c>
      <c r="N21" s="154" t="s">
        <v>121</v>
      </c>
      <c r="O21" s="154" t="s">
        <v>207</v>
      </c>
      <c r="P21" s="155" t="s">
        <v>205</v>
      </c>
      <c r="R21" s="171" t="s">
        <v>121</v>
      </c>
      <c r="S21" s="172" t="s">
        <v>208</v>
      </c>
      <c r="T21" s="172" t="s">
        <v>209</v>
      </c>
      <c r="U21" s="159" t="s">
        <v>210</v>
      </c>
    </row>
    <row r="22" spans="5:22" s="73" customFormat="1" ht="12.75">
      <c r="E22" s="161"/>
      <c r="F22" s="179">
        <v>2010</v>
      </c>
      <c r="G22" s="153">
        <v>84767.373859722167</v>
      </c>
      <c r="H22" s="104">
        <v>516.00000000000011</v>
      </c>
      <c r="J22" s="179">
        <v>2010</v>
      </c>
      <c r="K22" s="153">
        <v>84767.373859722167</v>
      </c>
      <c r="L22" s="104">
        <f>('Total Empregos Formais'!C3)*(População!C9)/1000</f>
        <v>29934</v>
      </c>
      <c r="N22" s="179">
        <v>2010</v>
      </c>
      <c r="O22" s="107">
        <v>246</v>
      </c>
      <c r="P22" s="156">
        <v>516.00000000000011</v>
      </c>
      <c r="R22" s="171">
        <v>2014</v>
      </c>
      <c r="S22" s="163">
        <v>681.1</v>
      </c>
      <c r="T22" s="163">
        <v>1439.2</v>
      </c>
      <c r="U22" s="165">
        <v>613</v>
      </c>
    </row>
    <row r="23" spans="5:22" s="73" customFormat="1" ht="12.75">
      <c r="E23" s="161"/>
      <c r="F23" s="179">
        <v>2011</v>
      </c>
      <c r="G23" s="153">
        <v>112768.30762577483</v>
      </c>
      <c r="H23" s="104">
        <v>486.00000000000006</v>
      </c>
      <c r="J23" s="179">
        <v>2011</v>
      </c>
      <c r="K23" s="153">
        <v>112768.30762577483</v>
      </c>
      <c r="L23" s="104">
        <f>('Total Empregos Formais'!C4)*(População!C10)/1000</f>
        <v>32482</v>
      </c>
      <c r="N23" s="179">
        <v>2011</v>
      </c>
      <c r="O23" s="107">
        <v>240</v>
      </c>
      <c r="P23" s="157">
        <v>486.00000000000006</v>
      </c>
      <c r="R23" s="171">
        <v>2015</v>
      </c>
      <c r="S23" s="164">
        <v>565.4</v>
      </c>
      <c r="T23" s="164">
        <v>1373.9</v>
      </c>
      <c r="U23" s="166">
        <v>575</v>
      </c>
    </row>
    <row r="24" spans="5:22">
      <c r="F24" s="179">
        <v>2012</v>
      </c>
      <c r="G24" s="153">
        <v>128449.98019529165</v>
      </c>
      <c r="H24" s="104">
        <v>510</v>
      </c>
      <c r="J24" s="179">
        <v>2012</v>
      </c>
      <c r="K24" s="153">
        <v>128449.98019529165</v>
      </c>
      <c r="L24" s="104">
        <f>('Total Empregos Formais'!C5)*(População!C11)/1000</f>
        <v>38171</v>
      </c>
      <c r="N24" s="179">
        <v>2012</v>
      </c>
      <c r="O24" s="107">
        <v>248</v>
      </c>
      <c r="P24" s="156">
        <v>510</v>
      </c>
      <c r="R24" s="171">
        <v>2016</v>
      </c>
      <c r="S24" s="163">
        <v>804.9</v>
      </c>
      <c r="T24" s="163">
        <v>1129.4000000000001</v>
      </c>
      <c r="U24" s="165">
        <v>385.99999999999994</v>
      </c>
    </row>
    <row r="25" spans="5:22">
      <c r="F25" s="179">
        <v>2013</v>
      </c>
      <c r="G25" s="153">
        <v>121883.18766571737</v>
      </c>
      <c r="H25" s="104">
        <v>689</v>
      </c>
      <c r="J25" s="179">
        <v>2013</v>
      </c>
      <c r="K25" s="153">
        <v>121883.18766571737</v>
      </c>
      <c r="L25" s="104">
        <f>('Total Empregos Formais'!C6)*(População!C12)/1000</f>
        <v>65349</v>
      </c>
      <c r="N25" s="179">
        <v>2013</v>
      </c>
      <c r="O25" s="107">
        <v>216</v>
      </c>
      <c r="P25" s="157">
        <v>689</v>
      </c>
      <c r="R25" s="171">
        <v>2017</v>
      </c>
      <c r="S25" s="164">
        <v>651.29999999999995</v>
      </c>
      <c r="T25" s="164">
        <v>946.4</v>
      </c>
      <c r="U25" s="166">
        <v>335.00000000000006</v>
      </c>
    </row>
    <row r="26" spans="5:22">
      <c r="F26" s="179">
        <v>2014</v>
      </c>
      <c r="G26" s="153">
        <v>112731.3538463958</v>
      </c>
      <c r="H26" s="104">
        <v>613</v>
      </c>
      <c r="J26" s="179">
        <v>2014</v>
      </c>
      <c r="K26" s="153">
        <v>112731.3538463958</v>
      </c>
      <c r="L26" s="104">
        <f>('Total Empregos Formais'!C7)*(População!C13)/1000</f>
        <v>47319</v>
      </c>
      <c r="N26" s="179">
        <v>2014</v>
      </c>
      <c r="O26" s="107">
        <v>238</v>
      </c>
      <c r="P26" s="156">
        <v>613</v>
      </c>
      <c r="R26" s="171">
        <v>2018</v>
      </c>
      <c r="S26" s="163">
        <v>779.5</v>
      </c>
      <c r="T26" s="163">
        <v>886.4</v>
      </c>
      <c r="U26" s="165">
        <v>311</v>
      </c>
    </row>
    <row r="27" spans="5:22">
      <c r="F27" s="179">
        <v>2015</v>
      </c>
      <c r="G27" s="153">
        <v>66045.500697096446</v>
      </c>
      <c r="H27" s="104">
        <v>575</v>
      </c>
      <c r="J27" s="179">
        <v>2015</v>
      </c>
      <c r="K27" s="153">
        <v>66045.500697096446</v>
      </c>
      <c r="L27" s="104">
        <f>('Total Empregos Formais'!C8)*(População!C14)/1000</f>
        <v>47021</v>
      </c>
      <c r="N27" s="179">
        <v>2015</v>
      </c>
      <c r="O27" s="107">
        <v>209</v>
      </c>
      <c r="P27" s="157">
        <v>575</v>
      </c>
      <c r="R27" s="171">
        <v>2019</v>
      </c>
      <c r="S27" s="164">
        <v>569.29999999999995</v>
      </c>
      <c r="T27" s="164">
        <v>1034.9000000000001</v>
      </c>
      <c r="U27" s="166">
        <v>323</v>
      </c>
    </row>
    <row r="28" spans="5:22">
      <c r="F28" s="179">
        <v>2016</v>
      </c>
      <c r="G28" s="153">
        <v>35783.123270826931</v>
      </c>
      <c r="H28" s="104">
        <v>385.99999999999994</v>
      </c>
      <c r="J28" s="179">
        <v>2016</v>
      </c>
      <c r="K28" s="153">
        <v>35783.123270826931</v>
      </c>
      <c r="L28" s="104">
        <f>('Total Empregos Formais'!C9)*(População!C15)/1000</f>
        <v>39344</v>
      </c>
      <c r="N28" s="179">
        <v>2016</v>
      </c>
      <c r="O28" s="107">
        <v>148</v>
      </c>
      <c r="P28" s="156">
        <v>385.99999999999994</v>
      </c>
      <c r="R28" s="171">
        <v>2020</v>
      </c>
      <c r="S28" s="163">
        <v>458.9</v>
      </c>
      <c r="T28" s="163">
        <v>800.1</v>
      </c>
      <c r="U28" s="165">
        <v>310.00000000000006</v>
      </c>
    </row>
    <row r="29" spans="5:22">
      <c r="F29" s="179">
        <v>2017</v>
      </c>
      <c r="G29" s="153">
        <v>39701.729770332422</v>
      </c>
      <c r="H29" s="104">
        <v>335.00000000000006</v>
      </c>
      <c r="J29" s="179">
        <v>2017</v>
      </c>
      <c r="K29" s="153">
        <v>39701.729770332422</v>
      </c>
      <c r="L29" s="104">
        <f>('Total Empregos Formais'!C10)*(População!C16)/1000</f>
        <v>37819.000000000007</v>
      </c>
      <c r="N29" s="179">
        <v>2017</v>
      </c>
      <c r="O29" s="107">
        <v>130</v>
      </c>
      <c r="P29" s="157">
        <v>335.00000000000006</v>
      </c>
      <c r="R29" s="171">
        <v>2021</v>
      </c>
      <c r="S29" s="164">
        <v>368.5</v>
      </c>
      <c r="T29" s="164">
        <v>814.3</v>
      </c>
      <c r="U29" s="167">
        <v>347</v>
      </c>
    </row>
    <row r="30" spans="5:22">
      <c r="F30" s="179">
        <v>2018</v>
      </c>
      <c r="G30" s="153">
        <v>58849.255765845373</v>
      </c>
      <c r="H30" s="104">
        <v>311</v>
      </c>
      <c r="J30" s="179">
        <v>2018</v>
      </c>
      <c r="K30" s="153">
        <v>58849.255765845373</v>
      </c>
      <c r="L30" s="104">
        <f>('Total Empregos Formais'!C11)*(População!C17)/1000</f>
        <v>37422</v>
      </c>
      <c r="N30" s="179">
        <v>2018</v>
      </c>
      <c r="O30" s="107">
        <v>148</v>
      </c>
      <c r="P30" s="156">
        <v>311</v>
      </c>
      <c r="R30" s="168"/>
      <c r="S30" s="169"/>
      <c r="T30" s="169"/>
    </row>
    <row r="31" spans="5:22">
      <c r="F31" s="179">
        <v>2019</v>
      </c>
      <c r="G31" s="153">
        <v>51404.52234625748</v>
      </c>
      <c r="H31" s="104">
        <v>323</v>
      </c>
      <c r="J31" s="179">
        <v>2019</v>
      </c>
      <c r="K31" s="153">
        <v>51404.52234625748</v>
      </c>
      <c r="L31" s="104">
        <f>('Total Empregos Formais'!C12)*(População!C18)/1000</f>
        <v>39162</v>
      </c>
      <c r="N31" s="179">
        <v>2019</v>
      </c>
      <c r="O31" s="107">
        <v>149</v>
      </c>
      <c r="P31" s="157">
        <v>323</v>
      </c>
      <c r="R31" s="226" t="s">
        <v>211</v>
      </c>
      <c r="S31" s="226"/>
      <c r="T31" s="226"/>
      <c r="U31" s="223" t="s">
        <v>212</v>
      </c>
      <c r="V31" s="170"/>
    </row>
    <row r="32" spans="5:22">
      <c r="F32" s="179">
        <v>2020</v>
      </c>
      <c r="G32" s="153">
        <v>40869.1951312237</v>
      </c>
      <c r="H32" s="104">
        <v>310.00000000000006</v>
      </c>
      <c r="J32" s="179">
        <v>2020</v>
      </c>
      <c r="K32" s="153">
        <v>40869.1951312237</v>
      </c>
      <c r="L32" s="104">
        <f>('Total Empregos Formais'!C13)*(População!C19)/1000</f>
        <v>38899</v>
      </c>
      <c r="N32" s="179">
        <v>2020</v>
      </c>
      <c r="O32" s="107">
        <v>126</v>
      </c>
      <c r="P32" s="156">
        <v>310.00000000000006</v>
      </c>
      <c r="R32" s="168"/>
      <c r="S32" s="169"/>
      <c r="T32" s="169"/>
      <c r="U32" s="227"/>
      <c r="V32" s="170"/>
    </row>
    <row r="33" spans="6:22">
      <c r="F33" s="179">
        <v>2021</v>
      </c>
      <c r="G33" s="153">
        <v>56096.358655792988</v>
      </c>
      <c r="H33" s="104">
        <v>347</v>
      </c>
      <c r="J33" s="179">
        <v>2021</v>
      </c>
      <c r="K33" s="153">
        <v>56096.358655792988</v>
      </c>
      <c r="L33" s="104">
        <f>('Total Empregos Formais'!C14)*(População!C20)/1000</f>
        <v>41767</v>
      </c>
      <c r="N33" s="179">
        <v>2021</v>
      </c>
      <c r="O33" s="107">
        <v>129</v>
      </c>
      <c r="P33" s="158">
        <v>347</v>
      </c>
      <c r="R33" s="228" t="s">
        <v>213</v>
      </c>
      <c r="S33" s="228"/>
      <c r="T33" s="228"/>
      <c r="U33" s="223" t="s">
        <v>214</v>
      </c>
      <c r="V33" s="170"/>
    </row>
    <row r="34" spans="6:22">
      <c r="M34" s="152" t="s">
        <v>215</v>
      </c>
      <c r="U34" s="170"/>
      <c r="V34" s="170"/>
    </row>
    <row r="35" spans="6:22" ht="28.5">
      <c r="F35" s="222" t="s">
        <v>216</v>
      </c>
      <c r="G35" s="222">
        <v>0.79520000000000002</v>
      </c>
      <c r="H35" s="223" t="s">
        <v>217</v>
      </c>
      <c r="I35" s="224"/>
      <c r="J35" s="222" t="s">
        <v>216</v>
      </c>
      <c r="K35" s="222">
        <v>0.312</v>
      </c>
      <c r="L35" s="223" t="s">
        <v>212</v>
      </c>
      <c r="M35" s="224"/>
      <c r="N35" s="222" t="s">
        <v>216</v>
      </c>
      <c r="O35" s="222">
        <v>0.82579999999999998</v>
      </c>
      <c r="P35" s="223" t="s">
        <v>217</v>
      </c>
      <c r="Q35" s="224"/>
      <c r="R35" s="183" t="s">
        <v>218</v>
      </c>
      <c r="S35" s="183"/>
      <c r="T35" s="183"/>
      <c r="U35" s="183"/>
    </row>
    <row r="36" spans="6:22">
      <c r="F36" s="224"/>
      <c r="G36" s="224"/>
      <c r="H36" s="224"/>
      <c r="I36" s="224"/>
      <c r="J36" s="224"/>
      <c r="K36" s="224"/>
      <c r="L36" s="224"/>
      <c r="M36" s="224"/>
      <c r="N36" s="224"/>
      <c r="O36" s="224"/>
      <c r="P36" s="224"/>
      <c r="Q36" s="224"/>
      <c r="R36" s="183"/>
      <c r="S36" s="183"/>
      <c r="T36" s="183"/>
      <c r="U36" s="183"/>
    </row>
    <row r="37" spans="6:22">
      <c r="F37" s="183" t="s">
        <v>219</v>
      </c>
      <c r="G37" s="183"/>
      <c r="H37" s="183"/>
      <c r="I37" s="224"/>
      <c r="J37" s="183" t="s">
        <v>220</v>
      </c>
      <c r="K37" s="183"/>
      <c r="L37" s="183"/>
      <c r="M37" s="224"/>
      <c r="N37" s="183" t="s">
        <v>221</v>
      </c>
      <c r="O37" s="183"/>
      <c r="P37" s="183"/>
      <c r="Q37" s="224"/>
      <c r="R37" s="183"/>
      <c r="S37" s="183"/>
      <c r="T37" s="183"/>
      <c r="U37" s="183"/>
    </row>
    <row r="38" spans="6:22">
      <c r="F38" s="183"/>
      <c r="G38" s="183"/>
      <c r="H38" s="183"/>
      <c r="I38" s="224"/>
      <c r="J38" s="183"/>
      <c r="K38" s="183"/>
      <c r="L38" s="183"/>
      <c r="M38" s="224"/>
      <c r="N38" s="183"/>
      <c r="O38" s="183"/>
      <c r="P38" s="183"/>
      <c r="Q38" s="224"/>
      <c r="R38" s="183"/>
      <c r="S38" s="183"/>
      <c r="T38" s="183"/>
      <c r="U38" s="183"/>
    </row>
    <row r="39" spans="6:22">
      <c r="F39" s="183"/>
      <c r="G39" s="183"/>
      <c r="H39" s="183"/>
      <c r="I39" s="224"/>
      <c r="J39" s="183"/>
      <c r="K39" s="183"/>
      <c r="L39" s="183"/>
      <c r="M39" s="224"/>
      <c r="N39" s="183"/>
      <c r="O39" s="183"/>
      <c r="P39" s="183"/>
      <c r="Q39" s="224"/>
      <c r="R39" s="183"/>
      <c r="S39" s="183"/>
      <c r="T39" s="183"/>
      <c r="U39" s="183"/>
    </row>
    <row r="40" spans="6:22">
      <c r="F40" s="183"/>
      <c r="G40" s="183"/>
      <c r="H40" s="183"/>
      <c r="I40" s="224"/>
      <c r="J40" s="183"/>
      <c r="K40" s="183"/>
      <c r="L40" s="183"/>
      <c r="M40" s="224"/>
      <c r="N40" s="183"/>
      <c r="O40" s="183"/>
      <c r="P40" s="183"/>
      <c r="Q40" s="224"/>
      <c r="R40" s="183"/>
      <c r="S40" s="183"/>
      <c r="T40" s="183"/>
      <c r="U40" s="183"/>
    </row>
    <row r="41" spans="6:22">
      <c r="F41" s="183"/>
      <c r="G41" s="183"/>
      <c r="H41" s="183"/>
      <c r="I41" s="224"/>
      <c r="J41" s="183"/>
      <c r="K41" s="183"/>
      <c r="L41" s="183"/>
      <c r="M41" s="224"/>
      <c r="N41" s="183"/>
      <c r="O41" s="183"/>
      <c r="P41" s="183"/>
      <c r="Q41" s="224"/>
      <c r="R41" s="183"/>
      <c r="S41" s="183"/>
      <c r="T41" s="183"/>
      <c r="U41" s="183"/>
    </row>
    <row r="42" spans="6:22">
      <c r="F42" s="183"/>
      <c r="G42" s="183"/>
      <c r="H42" s="183"/>
      <c r="I42" s="224"/>
      <c r="J42" s="183"/>
      <c r="K42" s="183"/>
      <c r="L42" s="183"/>
      <c r="M42" s="224"/>
      <c r="N42" s="183"/>
      <c r="O42" s="183"/>
      <c r="P42" s="183"/>
      <c r="Q42" s="224"/>
      <c r="R42" s="183"/>
      <c r="S42" s="183"/>
      <c r="T42" s="183"/>
      <c r="U42" s="183"/>
    </row>
    <row r="43" spans="6:22">
      <c r="F43" s="183"/>
      <c r="G43" s="183"/>
      <c r="H43" s="183"/>
      <c r="I43" s="224"/>
      <c r="J43" s="183"/>
      <c r="K43" s="183"/>
      <c r="L43" s="183"/>
      <c r="M43" s="224"/>
      <c r="N43" s="183"/>
      <c r="O43" s="183"/>
      <c r="P43" s="183"/>
      <c r="Q43" s="224"/>
      <c r="R43" s="183"/>
      <c r="S43" s="183"/>
      <c r="T43" s="183"/>
      <c r="U43" s="183"/>
    </row>
    <row r="44" spans="6:22">
      <c r="F44" s="183"/>
      <c r="G44" s="183"/>
      <c r="H44" s="183"/>
      <c r="I44" s="224"/>
      <c r="J44" s="183"/>
      <c r="K44" s="183"/>
      <c r="L44" s="183"/>
      <c r="M44" s="224"/>
      <c r="N44" s="183"/>
      <c r="O44" s="183"/>
      <c r="P44" s="183"/>
      <c r="Q44" s="224"/>
      <c r="R44" s="183"/>
      <c r="S44" s="183"/>
      <c r="T44" s="183"/>
      <c r="U44" s="183"/>
    </row>
    <row r="45" spans="6:22">
      <c r="F45" s="183"/>
      <c r="G45" s="183"/>
      <c r="H45" s="183"/>
      <c r="I45" s="224"/>
      <c r="J45" s="183"/>
      <c r="K45" s="183"/>
      <c r="L45" s="183"/>
      <c r="M45" s="224"/>
      <c r="N45" s="183"/>
      <c r="O45" s="183"/>
      <c r="P45" s="183"/>
      <c r="Q45" s="224"/>
      <c r="R45" s="183"/>
      <c r="S45" s="183"/>
      <c r="T45" s="183"/>
      <c r="U45" s="183"/>
    </row>
    <row r="46" spans="6:22">
      <c r="F46" s="183"/>
      <c r="G46" s="183"/>
      <c r="H46" s="183"/>
      <c r="I46" s="224"/>
      <c r="J46" s="183"/>
      <c r="K46" s="183"/>
      <c r="L46" s="183"/>
      <c r="M46" s="224"/>
      <c r="N46" s="183"/>
      <c r="O46" s="183"/>
      <c r="P46" s="183"/>
      <c r="Q46" s="224"/>
      <c r="R46" s="225"/>
      <c r="S46" s="225"/>
      <c r="T46" s="225"/>
      <c r="U46" s="225"/>
    </row>
    <row r="47" spans="6:22">
      <c r="F47" s="183"/>
      <c r="G47" s="183"/>
      <c r="H47" s="183"/>
      <c r="I47" s="224"/>
      <c r="J47" s="183"/>
      <c r="K47" s="183"/>
      <c r="L47" s="183"/>
      <c r="M47" s="224"/>
      <c r="N47" s="183"/>
      <c r="O47" s="183"/>
      <c r="P47" s="183"/>
      <c r="Q47" s="224"/>
      <c r="R47" s="183" t="s">
        <v>222</v>
      </c>
      <c r="S47" s="183"/>
      <c r="T47" s="183"/>
      <c r="U47" s="183"/>
    </row>
    <row r="48" spans="6:22">
      <c r="F48" s="224"/>
      <c r="G48" s="224"/>
      <c r="H48" s="224"/>
      <c r="I48" s="224"/>
      <c r="J48" s="224"/>
      <c r="K48" s="224"/>
      <c r="L48" s="224"/>
      <c r="M48" s="224"/>
      <c r="N48" s="224"/>
      <c r="O48" s="224"/>
      <c r="P48" s="224"/>
      <c r="Q48" s="224"/>
      <c r="R48" s="183"/>
      <c r="S48" s="183"/>
      <c r="T48" s="183"/>
      <c r="U48" s="183"/>
    </row>
    <row r="49" spans="6:21">
      <c r="F49" s="224"/>
      <c r="G49" s="224"/>
      <c r="H49" s="224"/>
      <c r="I49" s="224"/>
      <c r="J49" s="224"/>
      <c r="K49" s="224"/>
      <c r="L49" s="224"/>
      <c r="M49" s="224"/>
      <c r="N49" s="224"/>
      <c r="O49" s="224"/>
      <c r="P49" s="224"/>
      <c r="Q49" s="224"/>
      <c r="R49" s="183"/>
      <c r="S49" s="183"/>
      <c r="T49" s="183"/>
      <c r="U49" s="183"/>
    </row>
    <row r="50" spans="6:21">
      <c r="F50" s="224"/>
      <c r="G50" s="224"/>
      <c r="H50" s="224"/>
      <c r="I50" s="224"/>
      <c r="J50" s="224"/>
      <c r="K50" s="224"/>
      <c r="L50" s="224"/>
      <c r="M50" s="224"/>
      <c r="N50" s="224"/>
      <c r="O50" s="224"/>
      <c r="P50" s="224"/>
      <c r="Q50" s="224"/>
      <c r="R50" s="183"/>
      <c r="S50" s="183"/>
      <c r="T50" s="183"/>
      <c r="U50" s="183"/>
    </row>
    <row r="51" spans="6:21">
      <c r="F51" s="224"/>
      <c r="G51" s="224"/>
      <c r="H51" s="224"/>
      <c r="I51" s="224"/>
      <c r="J51" s="224"/>
      <c r="K51" s="224"/>
      <c r="L51" s="224"/>
      <c r="M51" s="224"/>
      <c r="N51" s="224"/>
      <c r="O51" s="224"/>
      <c r="P51" s="224"/>
      <c r="Q51" s="224"/>
      <c r="R51" s="183"/>
      <c r="S51" s="183"/>
      <c r="T51" s="183"/>
      <c r="U51" s="183"/>
    </row>
    <row r="52" spans="6:21">
      <c r="F52" s="224"/>
      <c r="G52" s="224"/>
      <c r="H52" s="224"/>
      <c r="I52" s="224"/>
      <c r="J52" s="224"/>
      <c r="K52" s="224"/>
      <c r="L52" s="224"/>
      <c r="M52" s="224"/>
      <c r="N52" s="224"/>
      <c r="O52" s="224"/>
      <c r="P52" s="224"/>
      <c r="Q52" s="224"/>
      <c r="R52" s="183"/>
      <c r="S52" s="183"/>
      <c r="T52" s="183"/>
      <c r="U52" s="183"/>
    </row>
    <row r="53" spans="6:21">
      <c r="F53" s="224"/>
      <c r="G53" s="224"/>
      <c r="H53" s="224"/>
      <c r="I53" s="224"/>
      <c r="J53" s="224"/>
      <c r="K53" s="224"/>
      <c r="L53" s="224"/>
      <c r="M53" s="224"/>
      <c r="N53" s="224"/>
      <c r="O53" s="224"/>
      <c r="P53" s="224"/>
      <c r="Q53" s="224"/>
      <c r="R53" s="183"/>
      <c r="S53" s="183"/>
      <c r="T53" s="183"/>
      <c r="U53" s="183"/>
    </row>
    <row r="54" spans="6:21">
      <c r="F54" s="224"/>
      <c r="G54" s="224"/>
      <c r="H54" s="224"/>
      <c r="I54" s="224"/>
      <c r="J54" s="224"/>
      <c r="K54" s="224"/>
      <c r="L54" s="224"/>
      <c r="M54" s="224"/>
      <c r="N54" s="224"/>
      <c r="O54" s="224"/>
      <c r="P54" s="224"/>
      <c r="Q54" s="224"/>
      <c r="R54" s="183"/>
      <c r="S54" s="183"/>
      <c r="T54" s="183"/>
      <c r="U54" s="183"/>
    </row>
    <row r="55" spans="6:21">
      <c r="F55" s="224"/>
      <c r="G55" s="224"/>
      <c r="H55" s="224"/>
      <c r="I55" s="224"/>
      <c r="J55" s="224"/>
      <c r="K55" s="224"/>
      <c r="L55" s="224"/>
      <c r="M55" s="224"/>
      <c r="N55" s="224"/>
      <c r="O55" s="224"/>
      <c r="P55" s="224"/>
      <c r="Q55" s="224"/>
      <c r="R55" s="183"/>
      <c r="S55" s="183"/>
      <c r="T55" s="183"/>
      <c r="U55" s="183"/>
    </row>
  </sheetData>
  <mergeCells count="11">
    <mergeCell ref="R33:T33"/>
    <mergeCell ref="R20:U20"/>
    <mergeCell ref="F20:H20"/>
    <mergeCell ref="N20:P20"/>
    <mergeCell ref="J20:L20"/>
    <mergeCell ref="R31:T31"/>
    <mergeCell ref="R35:U45"/>
    <mergeCell ref="R47:U55"/>
    <mergeCell ref="F37:H47"/>
    <mergeCell ref="J37:L47"/>
    <mergeCell ref="N37:P47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17D3-9D80-4EA0-AE8D-52B6708421C5}">
  <dimension ref="A1:H31"/>
  <sheetViews>
    <sheetView workbookViewId="0">
      <selection activeCell="B29" sqref="B29:D29"/>
    </sheetView>
  </sheetViews>
  <sheetFormatPr defaultRowHeight="15"/>
  <cols>
    <col min="1" max="1" width="34.140625" style="259" customWidth="1"/>
    <col min="2" max="2" width="38.140625" style="259" customWidth="1"/>
    <col min="3" max="3" width="48.28515625" style="259" customWidth="1"/>
    <col min="4" max="4" width="29.7109375" style="259" customWidth="1"/>
    <col min="5" max="5" width="65.7109375" style="259" customWidth="1"/>
    <col min="6" max="6" width="26.7109375" style="259" customWidth="1"/>
    <col min="7" max="7" width="25.85546875" style="259" customWidth="1"/>
    <col min="8" max="8" width="36.42578125" style="259" customWidth="1"/>
    <col min="9" max="16384" width="9.140625" style="259"/>
  </cols>
  <sheetData>
    <row r="1" spans="1:8">
      <c r="A1" s="215" t="s">
        <v>223</v>
      </c>
      <c r="B1" s="258"/>
      <c r="C1" s="258"/>
      <c r="D1" s="258"/>
      <c r="E1" s="258"/>
      <c r="F1" s="258"/>
      <c r="G1" s="258"/>
      <c r="H1" s="258"/>
    </row>
    <row r="2" spans="1:8" ht="27" customHeight="1">
      <c r="A2" s="260" t="s">
        <v>224</v>
      </c>
      <c r="B2" s="258"/>
      <c r="C2" s="258"/>
      <c r="D2" s="258"/>
      <c r="E2" s="258"/>
      <c r="F2" s="258"/>
      <c r="G2" s="258"/>
      <c r="H2" s="258"/>
    </row>
    <row r="4" spans="1:8">
      <c r="A4" s="215" t="s">
        <v>225</v>
      </c>
      <c r="B4" s="258"/>
      <c r="C4" s="258"/>
      <c r="D4" s="258"/>
      <c r="E4" s="258"/>
      <c r="F4" s="258"/>
      <c r="G4" s="258"/>
      <c r="H4" s="258"/>
    </row>
    <row r="5" spans="1:8">
      <c r="A5" s="244" t="s">
        <v>226</v>
      </c>
      <c r="B5" s="244" t="s">
        <v>227</v>
      </c>
      <c r="C5" s="244" t="s">
        <v>228</v>
      </c>
      <c r="D5" s="244" t="s">
        <v>229</v>
      </c>
      <c r="E5" s="244" t="s">
        <v>230</v>
      </c>
      <c r="F5" s="244" t="s">
        <v>231</v>
      </c>
      <c r="G5" s="244" t="s">
        <v>232</v>
      </c>
      <c r="H5" s="244" t="s">
        <v>233</v>
      </c>
    </row>
    <row r="6" spans="1:8" ht="91.5">
      <c r="A6" s="245" t="s">
        <v>234</v>
      </c>
      <c r="B6" s="246" t="s">
        <v>235</v>
      </c>
      <c r="C6" s="246" t="s">
        <v>236</v>
      </c>
      <c r="D6" s="246" t="s">
        <v>237</v>
      </c>
      <c r="E6" s="246" t="s">
        <v>238</v>
      </c>
      <c r="F6" s="247" t="s">
        <v>239</v>
      </c>
      <c r="G6" s="246" t="s">
        <v>240</v>
      </c>
      <c r="H6" s="248" t="s">
        <v>241</v>
      </c>
    </row>
    <row r="7" spans="1:8" ht="76.5">
      <c r="A7" s="245" t="s">
        <v>234</v>
      </c>
      <c r="B7" s="249" t="s">
        <v>242</v>
      </c>
      <c r="C7" s="249" t="s">
        <v>243</v>
      </c>
      <c r="D7" s="249" t="s">
        <v>237</v>
      </c>
      <c r="E7" s="249" t="s">
        <v>244</v>
      </c>
      <c r="F7" s="250" t="s">
        <v>239</v>
      </c>
      <c r="G7" s="249" t="s">
        <v>240</v>
      </c>
      <c r="H7" s="248" t="s">
        <v>241</v>
      </c>
    </row>
    <row r="8" spans="1:8" ht="122.25">
      <c r="A8" s="245" t="s">
        <v>234</v>
      </c>
      <c r="B8" s="246" t="s">
        <v>245</v>
      </c>
      <c r="C8" s="246" t="s">
        <v>246</v>
      </c>
      <c r="D8" s="246" t="s">
        <v>247</v>
      </c>
      <c r="E8" s="246" t="s">
        <v>248</v>
      </c>
      <c r="F8" s="247" t="s">
        <v>239</v>
      </c>
      <c r="G8" s="246" t="s">
        <v>249</v>
      </c>
      <c r="H8" s="248" t="s">
        <v>241</v>
      </c>
    </row>
    <row r="9" spans="1:8" ht="107.25">
      <c r="A9" s="251" t="s">
        <v>250</v>
      </c>
      <c r="B9" s="249" t="s">
        <v>251</v>
      </c>
      <c r="C9" s="249" t="s">
        <v>252</v>
      </c>
      <c r="D9" s="249" t="s">
        <v>237</v>
      </c>
      <c r="E9" s="249" t="s">
        <v>253</v>
      </c>
      <c r="F9" s="252" t="s">
        <v>240</v>
      </c>
      <c r="G9" s="249" t="s">
        <v>249</v>
      </c>
      <c r="H9" s="248" t="s">
        <v>241</v>
      </c>
    </row>
    <row r="10" spans="1:8" ht="76.5">
      <c r="A10" s="251" t="s">
        <v>250</v>
      </c>
      <c r="B10" s="246" t="s">
        <v>254</v>
      </c>
      <c r="C10" s="246" t="s">
        <v>255</v>
      </c>
      <c r="D10" s="246" t="s">
        <v>256</v>
      </c>
      <c r="E10" s="246" t="s">
        <v>257</v>
      </c>
      <c r="F10" s="247" t="s">
        <v>239</v>
      </c>
      <c r="G10" s="246" t="s">
        <v>239</v>
      </c>
      <c r="H10" s="251" t="s">
        <v>258</v>
      </c>
    </row>
    <row r="11" spans="1:8" ht="76.5">
      <c r="A11" s="251" t="s">
        <v>250</v>
      </c>
      <c r="B11" s="249" t="s">
        <v>259</v>
      </c>
      <c r="C11" s="249" t="s">
        <v>260</v>
      </c>
      <c r="D11" s="249" t="s">
        <v>261</v>
      </c>
      <c r="E11" s="249" t="s">
        <v>262</v>
      </c>
      <c r="F11" s="252" t="s">
        <v>240</v>
      </c>
      <c r="G11" s="249" t="s">
        <v>240</v>
      </c>
      <c r="H11" s="251" t="s">
        <v>258</v>
      </c>
    </row>
    <row r="12" spans="1:8" ht="65.25" customHeight="1">
      <c r="A12" s="253" t="s">
        <v>263</v>
      </c>
      <c r="B12" s="246" t="s">
        <v>264</v>
      </c>
      <c r="C12" s="246" t="s">
        <v>265</v>
      </c>
      <c r="D12" s="246" t="s">
        <v>237</v>
      </c>
      <c r="E12" s="246" t="s">
        <v>266</v>
      </c>
      <c r="F12" s="254" t="s">
        <v>240</v>
      </c>
      <c r="G12" s="246" t="s">
        <v>240</v>
      </c>
      <c r="H12" s="251" t="s">
        <v>258</v>
      </c>
    </row>
    <row r="13" spans="1:8" ht="61.5">
      <c r="A13" s="253" t="s">
        <v>263</v>
      </c>
      <c r="B13" s="249" t="s">
        <v>267</v>
      </c>
      <c r="C13" s="249" t="s">
        <v>268</v>
      </c>
      <c r="D13" s="249" t="s">
        <v>269</v>
      </c>
      <c r="E13" s="249" t="s">
        <v>270</v>
      </c>
      <c r="F13" s="250" t="s">
        <v>239</v>
      </c>
      <c r="G13" s="249" t="s">
        <v>239</v>
      </c>
      <c r="H13" s="255" t="s">
        <v>271</v>
      </c>
    </row>
    <row r="14" spans="1:8" ht="61.5">
      <c r="A14" s="255" t="s">
        <v>272</v>
      </c>
      <c r="B14" s="246" t="s">
        <v>273</v>
      </c>
      <c r="C14" s="246" t="s">
        <v>274</v>
      </c>
      <c r="D14" s="246" t="s">
        <v>275</v>
      </c>
      <c r="E14" s="246" t="s">
        <v>276</v>
      </c>
      <c r="F14" s="254" t="s">
        <v>240</v>
      </c>
      <c r="G14" s="246" t="s">
        <v>240</v>
      </c>
      <c r="H14" s="255" t="s">
        <v>271</v>
      </c>
    </row>
    <row r="15" spans="1:8" ht="107.25">
      <c r="A15" s="256" t="s">
        <v>277</v>
      </c>
      <c r="B15" s="249" t="s">
        <v>278</v>
      </c>
      <c r="C15" s="249" t="s">
        <v>279</v>
      </c>
      <c r="D15" s="249" t="s">
        <v>280</v>
      </c>
      <c r="E15" s="249" t="s">
        <v>281</v>
      </c>
      <c r="F15" s="252" t="s">
        <v>240</v>
      </c>
      <c r="G15" s="249" t="s">
        <v>249</v>
      </c>
      <c r="H15" s="251" t="s">
        <v>258</v>
      </c>
    </row>
    <row r="17" spans="1:8">
      <c r="A17" s="261" t="s">
        <v>282</v>
      </c>
      <c r="B17" s="258"/>
      <c r="C17" s="258"/>
      <c r="D17" s="258"/>
      <c r="E17" s="258"/>
      <c r="F17" s="258"/>
      <c r="G17" s="258"/>
      <c r="H17" s="258"/>
    </row>
    <row r="19" spans="1:8">
      <c r="A19" s="215" t="s">
        <v>283</v>
      </c>
      <c r="B19" s="258"/>
      <c r="C19" s="258"/>
      <c r="D19" s="258"/>
      <c r="E19" s="258"/>
      <c r="F19" s="258"/>
      <c r="G19" s="258"/>
      <c r="H19" s="258"/>
    </row>
    <row r="20" spans="1:8" ht="30.75">
      <c r="A20" s="244" t="s">
        <v>284</v>
      </c>
      <c r="B20" s="257" t="s">
        <v>285</v>
      </c>
      <c r="C20" s="262"/>
      <c r="D20" s="257" t="s">
        <v>286</v>
      </c>
      <c r="E20" s="262"/>
      <c r="F20" s="257" t="s">
        <v>287</v>
      </c>
      <c r="G20" s="262"/>
      <c r="H20" s="244" t="s">
        <v>288</v>
      </c>
    </row>
    <row r="21" spans="1:8" ht="184.5">
      <c r="A21" s="263" t="s">
        <v>289</v>
      </c>
      <c r="B21" s="264" t="s">
        <v>290</v>
      </c>
      <c r="C21" s="262"/>
      <c r="D21" s="264" t="s">
        <v>291</v>
      </c>
      <c r="E21" s="262"/>
      <c r="F21" s="264" t="s">
        <v>292</v>
      </c>
      <c r="G21" s="262"/>
      <c r="H21" s="249" t="s">
        <v>293</v>
      </c>
    </row>
    <row r="22" spans="1:8" ht="122.25">
      <c r="A22" s="263" t="s">
        <v>294</v>
      </c>
      <c r="B22" s="264" t="s">
        <v>295</v>
      </c>
      <c r="C22" s="262"/>
      <c r="D22" s="264" t="s">
        <v>296</v>
      </c>
      <c r="E22" s="262"/>
      <c r="F22" s="264" t="s">
        <v>297</v>
      </c>
      <c r="G22" s="262"/>
      <c r="H22" s="249" t="s">
        <v>298</v>
      </c>
    </row>
    <row r="23" spans="1:8" ht="153">
      <c r="A23" s="263" t="s">
        <v>299</v>
      </c>
      <c r="B23" s="264" t="s">
        <v>300</v>
      </c>
      <c r="C23" s="262"/>
      <c r="D23" s="264" t="s">
        <v>301</v>
      </c>
      <c r="E23" s="262"/>
      <c r="F23" s="264" t="s">
        <v>302</v>
      </c>
      <c r="G23" s="262"/>
      <c r="H23" s="249" t="s">
        <v>303</v>
      </c>
    </row>
    <row r="25" spans="1:8">
      <c r="A25" s="215" t="s">
        <v>304</v>
      </c>
      <c r="B25" s="258"/>
      <c r="C25" s="258"/>
      <c r="D25" s="258"/>
      <c r="E25" s="258"/>
      <c r="F25" s="258"/>
      <c r="G25" s="258"/>
      <c r="H25" s="258"/>
    </row>
    <row r="26" spans="1:8">
      <c r="A26" s="244" t="s">
        <v>305</v>
      </c>
      <c r="B26" s="257" t="s">
        <v>306</v>
      </c>
      <c r="C26" s="262"/>
      <c r="D26" s="262"/>
      <c r="E26" s="257" t="s">
        <v>307</v>
      </c>
      <c r="F26" s="262"/>
      <c r="G26" s="262"/>
      <c r="H26" s="262"/>
    </row>
    <row r="27" spans="1:8" ht="30.75">
      <c r="A27" s="244" t="s">
        <v>308</v>
      </c>
      <c r="B27" s="264" t="s">
        <v>309</v>
      </c>
      <c r="C27" s="262"/>
      <c r="D27" s="262"/>
      <c r="E27" s="264" t="s">
        <v>310</v>
      </c>
      <c r="F27" s="262"/>
      <c r="G27" s="262"/>
      <c r="H27" s="262"/>
    </row>
    <row r="28" spans="1:8" ht="30.75">
      <c r="A28" s="244" t="s">
        <v>311</v>
      </c>
      <c r="B28" s="264" t="s">
        <v>312</v>
      </c>
      <c r="C28" s="262"/>
      <c r="D28" s="262"/>
      <c r="E28" s="264" t="s">
        <v>313</v>
      </c>
      <c r="F28" s="262"/>
      <c r="G28" s="262"/>
      <c r="H28" s="262"/>
    </row>
    <row r="29" spans="1:8" ht="30.75">
      <c r="A29" s="244" t="s">
        <v>314</v>
      </c>
      <c r="B29" s="264" t="s">
        <v>315</v>
      </c>
      <c r="C29" s="262"/>
      <c r="D29" s="262"/>
      <c r="E29" s="264" t="s">
        <v>316</v>
      </c>
      <c r="F29" s="262"/>
      <c r="G29" s="262"/>
      <c r="H29" s="262"/>
    </row>
    <row r="31" spans="1:8" ht="31.5" customHeight="1">
      <c r="A31" s="265" t="s">
        <v>317</v>
      </c>
      <c r="B31" s="258"/>
      <c r="C31" s="258"/>
      <c r="D31" s="258"/>
      <c r="E31" s="258"/>
      <c r="F31" s="258"/>
      <c r="G31" s="258"/>
      <c r="H31" s="258"/>
    </row>
  </sheetData>
  <mergeCells count="27">
    <mergeCell ref="A31:H31"/>
    <mergeCell ref="B27:D27"/>
    <mergeCell ref="E27:H27"/>
    <mergeCell ref="B28:D28"/>
    <mergeCell ref="E28:H28"/>
    <mergeCell ref="B29:D29"/>
    <mergeCell ref="E29:H29"/>
    <mergeCell ref="B23:C23"/>
    <mergeCell ref="D23:E23"/>
    <mergeCell ref="F23:G23"/>
    <mergeCell ref="A25:H25"/>
    <mergeCell ref="B26:D26"/>
    <mergeCell ref="E26:H26"/>
    <mergeCell ref="B21:C21"/>
    <mergeCell ref="D21:E21"/>
    <mergeCell ref="F21:G21"/>
    <mergeCell ref="B22:C22"/>
    <mergeCell ref="D22:E22"/>
    <mergeCell ref="F22:G22"/>
    <mergeCell ref="A1:H1"/>
    <mergeCell ref="A2:H2"/>
    <mergeCell ref="A4:H4"/>
    <mergeCell ref="A17:H17"/>
    <mergeCell ref="A19:H19"/>
    <mergeCell ref="B20:C20"/>
    <mergeCell ref="D20:E20"/>
    <mergeCell ref="F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2026-05-31T03:27:15Z</dcterms:created>
  <dcterms:modified xsi:type="dcterms:W3CDTF">2026-06-14T04:02:41Z</dcterms:modified>
  <cp:category/>
  <cp:contentStatus/>
</cp:coreProperties>
</file>